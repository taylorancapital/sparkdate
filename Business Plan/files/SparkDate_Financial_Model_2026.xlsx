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nns\source\repos\sparkdate\Business Plan\files\"/>
    </mc:Choice>
  </mc:AlternateContent>
  <xr:revisionPtr revIDLastSave="0" documentId="13_ncr:1_{D2646A6B-C88D-479F-BB08-8378BDA2C63B}" xr6:coauthVersionLast="47" xr6:coauthVersionMax="47" xr10:uidLastSave="{00000000-0000-0000-0000-000000000000}"/>
  <bookViews>
    <workbookView xWindow="28680" yWindow="885" windowWidth="29040" windowHeight="15720" tabRatio="500" xr2:uid="{00000000-000D-0000-FFFF-FFFF00000000}"/>
  </bookViews>
  <sheets>
    <sheet name="Cover" sheetId="1" r:id="rId1"/>
    <sheet name="Assumptions" sheetId="2" r:id="rId2"/>
    <sheet name="Subscription Model" sheetId="3" r:id="rId3"/>
    <sheet name="Event Economics" sheetId="4" r:id="rId4"/>
    <sheet name="Monthly P&amp;L" sheetId="5" r:id="rId5"/>
    <sheet name="CAC &amp; Channel Mix" sheetId="6" r:id="rId6"/>
    <sheet name="Cohort Retention" sheetId="7" r:id="rId7"/>
    <sheet name="Scenarios" sheetId="8" r:id="rId8"/>
    <sheet name="Funding &amp; Runway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9" l="1"/>
  <c r="D13" i="9" s="1"/>
  <c r="D10" i="6"/>
  <c r="C10" i="6"/>
  <c r="D9" i="6"/>
  <c r="C9" i="6"/>
  <c r="D8" i="6"/>
  <c r="C8" i="6"/>
  <c r="D7" i="6"/>
  <c r="C7" i="6"/>
  <c r="D6" i="6"/>
  <c r="C6" i="6"/>
  <c r="D5" i="6"/>
  <c r="C5" i="6"/>
  <c r="D11" i="6" s="1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Z27" i="5"/>
  <c r="Y27" i="5"/>
  <c r="X27" i="5"/>
  <c r="W27" i="5"/>
  <c r="V27" i="5"/>
  <c r="U27" i="5"/>
  <c r="T27" i="5"/>
  <c r="S27" i="5"/>
  <c r="R27" i="5"/>
  <c r="Q27" i="5"/>
  <c r="P27" i="5"/>
  <c r="AB27" i="5" s="1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A26" i="5" s="1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Z23" i="5"/>
  <c r="Y23" i="5"/>
  <c r="X23" i="5"/>
  <c r="W23" i="5"/>
  <c r="V23" i="5"/>
  <c r="U23" i="5"/>
  <c r="T23" i="5"/>
  <c r="S23" i="5"/>
  <c r="AB23" i="5" s="1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H21" i="5"/>
  <c r="F21" i="5"/>
  <c r="E21" i="5"/>
  <c r="O17" i="5"/>
  <c r="Z16" i="5"/>
  <c r="P16" i="5"/>
  <c r="O16" i="5"/>
  <c r="N16" i="5"/>
  <c r="L16" i="5"/>
  <c r="K16" i="5"/>
  <c r="H16" i="5"/>
  <c r="G16" i="5"/>
  <c r="G21" i="5" s="1"/>
  <c r="F16" i="5"/>
  <c r="E16" i="5"/>
  <c r="D16" i="5"/>
  <c r="D21" i="5" s="1"/>
  <c r="C16" i="5"/>
  <c r="W12" i="5"/>
  <c r="W17" i="5" s="1"/>
  <c r="R12" i="5"/>
  <c r="R17" i="5" s="1"/>
  <c r="P12" i="5"/>
  <c r="P17" i="5" s="1"/>
  <c r="O12" i="5"/>
  <c r="H12" i="5"/>
  <c r="H17" i="5" s="1"/>
  <c r="G12" i="5"/>
  <c r="G17" i="5" s="1"/>
  <c r="F12" i="5"/>
  <c r="F17" i="5" s="1"/>
  <c r="E12" i="5"/>
  <c r="E17" i="5" s="1"/>
  <c r="D12" i="5"/>
  <c r="D17" i="5" s="1"/>
  <c r="C12" i="5"/>
  <c r="C17" i="5" s="1"/>
  <c r="Z11" i="5"/>
  <c r="Z12" i="5" s="1"/>
  <c r="Z17" i="5" s="1"/>
  <c r="Y11" i="5"/>
  <c r="X11" i="5"/>
  <c r="W11" i="5"/>
  <c r="V11" i="5"/>
  <c r="U11" i="5"/>
  <c r="T11" i="5"/>
  <c r="T16" i="5" s="1"/>
  <c r="S11" i="5"/>
  <c r="R11" i="5"/>
  <c r="R16" i="5" s="1"/>
  <c r="Q11" i="5"/>
  <c r="Q12" i="5" s="1"/>
  <c r="Q17" i="5" s="1"/>
  <c r="P11" i="5"/>
  <c r="P21" i="5" s="1"/>
  <c r="O11" i="5"/>
  <c r="N11" i="5"/>
  <c r="N12" i="5" s="1"/>
  <c r="N17" i="5" s="1"/>
  <c r="M11" i="5"/>
  <c r="L11" i="5"/>
  <c r="K11" i="5"/>
  <c r="K12" i="5" s="1"/>
  <c r="K17" i="5" s="1"/>
  <c r="J11" i="5"/>
  <c r="J12" i="5" s="1"/>
  <c r="J17" i="5" s="1"/>
  <c r="I11" i="5"/>
  <c r="C7" i="5"/>
  <c r="C22" i="5" s="1"/>
  <c r="C6" i="5"/>
  <c r="D6" i="5" s="1"/>
  <c r="C22" i="4"/>
  <c r="C21" i="4"/>
  <c r="C20" i="4"/>
  <c r="C15" i="4"/>
  <c r="C10" i="4"/>
  <c r="C9" i="4"/>
  <c r="C6" i="4"/>
  <c r="C7" i="4" s="1"/>
  <c r="C13" i="4" s="1"/>
  <c r="C5" i="4"/>
  <c r="C13" i="3"/>
  <c r="E9" i="3"/>
  <c r="D9" i="3"/>
  <c r="C9" i="3"/>
  <c r="E8" i="3"/>
  <c r="D8" i="3"/>
  <c r="C8" i="3"/>
  <c r="F8" i="3" s="1"/>
  <c r="E7" i="3"/>
  <c r="D7" i="3"/>
  <c r="C7" i="3"/>
  <c r="F7" i="3" s="1"/>
  <c r="E6" i="3"/>
  <c r="E10" i="3" s="1"/>
  <c r="D6" i="3"/>
  <c r="D10" i="3" s="1"/>
  <c r="C6" i="3"/>
  <c r="C10" i="3" s="1"/>
  <c r="C63" i="2"/>
  <c r="C15" i="2"/>
  <c r="C16" i="4" l="1"/>
  <c r="E6" i="5"/>
  <c r="D7" i="5"/>
  <c r="I11" i="7"/>
  <c r="J11" i="7" s="1"/>
  <c r="K11" i="7" s="1"/>
  <c r="L11" i="7" s="1"/>
  <c r="M11" i="7" s="1"/>
  <c r="N11" i="7" s="1"/>
  <c r="F8" i="7"/>
  <c r="G8" i="7" s="1"/>
  <c r="H8" i="7" s="1"/>
  <c r="I8" i="7" s="1"/>
  <c r="J8" i="7" s="1"/>
  <c r="K8" i="7" s="1"/>
  <c r="L8" i="7" s="1"/>
  <c r="M8" i="7" s="1"/>
  <c r="N8" i="7" s="1"/>
  <c r="K13" i="7"/>
  <c r="L13" i="7" s="1"/>
  <c r="M13" i="7" s="1"/>
  <c r="N13" i="7" s="1"/>
  <c r="C22" i="7"/>
  <c r="C23" i="7" s="1"/>
  <c r="G9" i="7"/>
  <c r="H9" i="7" s="1"/>
  <c r="I9" i="7" s="1"/>
  <c r="J9" i="7" s="1"/>
  <c r="K9" i="7" s="1"/>
  <c r="L9" i="7" s="1"/>
  <c r="M9" i="7" s="1"/>
  <c r="N9" i="7" s="1"/>
  <c r="N16" i="7"/>
  <c r="M15" i="7"/>
  <c r="N15" i="7" s="1"/>
  <c r="J12" i="7"/>
  <c r="K12" i="7" s="1"/>
  <c r="L12" i="7" s="1"/>
  <c r="M12" i="7" s="1"/>
  <c r="N12" i="7" s="1"/>
  <c r="H10" i="7"/>
  <c r="I10" i="7" s="1"/>
  <c r="J10" i="7" s="1"/>
  <c r="K10" i="7" s="1"/>
  <c r="L10" i="7" s="1"/>
  <c r="M10" i="7" s="1"/>
  <c r="N10" i="7" s="1"/>
  <c r="L14" i="7"/>
  <c r="M14" i="7" s="1"/>
  <c r="N14" i="7" s="1"/>
  <c r="D6" i="7"/>
  <c r="E6" i="7" s="1"/>
  <c r="F6" i="7" s="1"/>
  <c r="G6" i="7" s="1"/>
  <c r="H6" i="7" s="1"/>
  <c r="I6" i="7" s="1"/>
  <c r="J6" i="7" s="1"/>
  <c r="K6" i="7" s="1"/>
  <c r="L6" i="7" s="1"/>
  <c r="M6" i="7" s="1"/>
  <c r="N6" i="7" s="1"/>
  <c r="E7" i="7"/>
  <c r="F7" i="7" s="1"/>
  <c r="G7" i="7" s="1"/>
  <c r="H7" i="7" s="1"/>
  <c r="I7" i="7" s="1"/>
  <c r="J7" i="7" s="1"/>
  <c r="K7" i="7" s="1"/>
  <c r="L7" i="7" s="1"/>
  <c r="M7" i="7" s="1"/>
  <c r="N7" i="7" s="1"/>
  <c r="F9" i="3"/>
  <c r="W21" i="5"/>
  <c r="C8" i="4"/>
  <c r="C14" i="4" s="1"/>
  <c r="C17" i="4" s="1"/>
  <c r="C9" i="5"/>
  <c r="F6" i="3"/>
  <c r="X12" i="5"/>
  <c r="X17" i="5" s="1"/>
  <c r="AB25" i="5"/>
  <c r="AB26" i="5"/>
  <c r="Q16" i="5"/>
  <c r="Q21" i="5" s="1"/>
  <c r="K21" i="5"/>
  <c r="AA27" i="5"/>
  <c r="I16" i="5"/>
  <c r="AA16" i="5" s="1"/>
  <c r="AA11" i="5"/>
  <c r="I21" i="5"/>
  <c r="I12" i="5"/>
  <c r="I17" i="5" s="1"/>
  <c r="Y12" i="5"/>
  <c r="Y17" i="5" s="1"/>
  <c r="Y16" i="5"/>
  <c r="Y21" i="5" s="1"/>
  <c r="C21" i="5"/>
  <c r="W16" i="5"/>
  <c r="AB28" i="5"/>
  <c r="T12" i="5"/>
  <c r="T17" i="5" s="1"/>
  <c r="X16" i="5"/>
  <c r="X21" i="5" s="1"/>
  <c r="R21" i="5"/>
  <c r="S16" i="5"/>
  <c r="S21" i="5"/>
  <c r="U16" i="5"/>
  <c r="U21" i="5"/>
  <c r="J16" i="5"/>
  <c r="J21" i="5"/>
  <c r="C8" i="5"/>
  <c r="C10" i="5"/>
  <c r="AA28" i="5"/>
  <c r="U12" i="5"/>
  <c r="U17" i="5" s="1"/>
  <c r="T21" i="5"/>
  <c r="AA23" i="5"/>
  <c r="C14" i="6"/>
  <c r="C26" i="7"/>
  <c r="V16" i="5"/>
  <c r="V21" i="5"/>
  <c r="L12" i="5"/>
  <c r="L17" i="5" s="1"/>
  <c r="L21" i="5"/>
  <c r="AB16" i="5"/>
  <c r="M12" i="5"/>
  <c r="M17" i="5" s="1"/>
  <c r="M21" i="5"/>
  <c r="M16" i="5"/>
  <c r="AB11" i="5"/>
  <c r="S12" i="5"/>
  <c r="V12" i="5"/>
  <c r="V17" i="5" s="1"/>
  <c r="AA24" i="5"/>
  <c r="AB24" i="5"/>
  <c r="AA25" i="5"/>
  <c r="C18" i="9"/>
  <c r="D6" i="9"/>
  <c r="C11" i="6"/>
  <c r="D7" i="9"/>
  <c r="D8" i="9"/>
  <c r="D9" i="9"/>
  <c r="D10" i="9"/>
  <c r="N21" i="5"/>
  <c r="Z21" i="5"/>
  <c r="D11" i="9"/>
  <c r="O21" i="5"/>
  <c r="D12" i="9"/>
  <c r="AA17" i="5" l="1"/>
  <c r="C23" i="4"/>
  <c r="C24" i="4" s="1"/>
  <c r="C26" i="4" s="1"/>
  <c r="C27" i="4" s="1"/>
  <c r="AA21" i="5"/>
  <c r="C29" i="5"/>
  <c r="AA12" i="5"/>
  <c r="F6" i="5"/>
  <c r="E7" i="5"/>
  <c r="S17" i="5"/>
  <c r="AB17" i="5" s="1"/>
  <c r="AB12" i="5"/>
  <c r="D10" i="5"/>
  <c r="D8" i="5"/>
  <c r="D9" i="5"/>
  <c r="D22" i="5"/>
  <c r="C15" i="5"/>
  <c r="AB21" i="5"/>
  <c r="C15" i="6"/>
  <c r="C16" i="6" s="1"/>
  <c r="C21" i="7"/>
  <c r="C24" i="7" s="1"/>
  <c r="F10" i="3"/>
  <c r="C14" i="3"/>
  <c r="C15" i="3" s="1"/>
  <c r="E22" i="5" l="1"/>
  <c r="E29" i="5" s="1"/>
  <c r="E9" i="5"/>
  <c r="E10" i="5"/>
  <c r="E8" i="5"/>
  <c r="E15" i="5" s="1"/>
  <c r="E18" i="5" s="1"/>
  <c r="E32" i="5" s="1"/>
  <c r="D29" i="5"/>
  <c r="D15" i="5"/>
  <c r="D18" i="5" s="1"/>
  <c r="D32" i="5" s="1"/>
  <c r="C18" i="5"/>
  <c r="C28" i="7"/>
  <c r="C25" i="7"/>
  <c r="C27" i="7" s="1"/>
  <c r="G6" i="5"/>
  <c r="F7" i="5"/>
  <c r="C16" i="3"/>
  <c r="C17" i="3" s="1"/>
  <c r="C17" i="6"/>
  <c r="C18" i="6" s="1"/>
  <c r="C32" i="5" l="1"/>
  <c r="E19" i="9"/>
  <c r="E33" i="5"/>
  <c r="D19" i="9"/>
  <c r="D33" i="5"/>
  <c r="F10" i="5"/>
  <c r="F8" i="5"/>
  <c r="F9" i="5"/>
  <c r="F22" i="5"/>
  <c r="G7" i="5"/>
  <c r="H6" i="5"/>
  <c r="F29" i="5" l="1"/>
  <c r="F15" i="5"/>
  <c r="I6" i="5"/>
  <c r="H7" i="5"/>
  <c r="C34" i="5"/>
  <c r="D34" i="5" s="1"/>
  <c r="E34" i="5" s="1"/>
  <c r="C19" i="9"/>
  <c r="C21" i="9" s="1"/>
  <c r="D18" i="9" s="1"/>
  <c r="D21" i="9" s="1"/>
  <c r="E18" i="9" s="1"/>
  <c r="E21" i="9" s="1"/>
  <c r="F18" i="9" s="1"/>
  <c r="C33" i="5"/>
  <c r="G22" i="5"/>
  <c r="G29" i="5" s="1"/>
  <c r="G10" i="5"/>
  <c r="G8" i="5"/>
  <c r="G15" i="5" s="1"/>
  <c r="G18" i="5" s="1"/>
  <c r="G32" i="5" s="1"/>
  <c r="G9" i="5"/>
  <c r="G19" i="9" l="1"/>
  <c r="G33" i="5"/>
  <c r="H10" i="5"/>
  <c r="H9" i="5"/>
  <c r="H8" i="5"/>
  <c r="H15" i="5" s="1"/>
  <c r="H18" i="5" s="1"/>
  <c r="H22" i="5"/>
  <c r="H29" i="5" s="1"/>
  <c r="J6" i="5"/>
  <c r="I7" i="5"/>
  <c r="F18" i="5"/>
  <c r="F32" i="5" l="1"/>
  <c r="I10" i="5"/>
  <c r="I9" i="5"/>
  <c r="I8" i="5"/>
  <c r="I15" i="5" s="1"/>
  <c r="I22" i="5"/>
  <c r="I29" i="5" s="1"/>
  <c r="J7" i="5"/>
  <c r="K6" i="5"/>
  <c r="H32" i="5"/>
  <c r="H19" i="9" l="1"/>
  <c r="H33" i="5"/>
  <c r="K7" i="5"/>
  <c r="L6" i="5"/>
  <c r="J10" i="5"/>
  <c r="J9" i="5"/>
  <c r="J8" i="5"/>
  <c r="J15" i="5" s="1"/>
  <c r="J18" i="5" s="1"/>
  <c r="J22" i="5"/>
  <c r="J29" i="5" s="1"/>
  <c r="I18" i="5"/>
  <c r="F19" i="9"/>
  <c r="F21" i="9" s="1"/>
  <c r="G18" i="9" s="1"/>
  <c r="G21" i="9" s="1"/>
  <c r="H18" i="9" s="1"/>
  <c r="H21" i="9" s="1"/>
  <c r="I18" i="9" s="1"/>
  <c r="F33" i="5"/>
  <c r="F34" i="5"/>
  <c r="G34" i="5" s="1"/>
  <c r="H34" i="5" s="1"/>
  <c r="I32" i="5" l="1"/>
  <c r="J32" i="5"/>
  <c r="L7" i="5"/>
  <c r="M6" i="5"/>
  <c r="K22" i="5"/>
  <c r="K29" i="5" s="1"/>
  <c r="K10" i="5"/>
  <c r="K8" i="5"/>
  <c r="K9" i="5"/>
  <c r="J19" i="9" l="1"/>
  <c r="J33" i="5"/>
  <c r="I19" i="9"/>
  <c r="I21" i="9" s="1"/>
  <c r="J18" i="9" s="1"/>
  <c r="I33" i="5"/>
  <c r="I34" i="5"/>
  <c r="J34" i="5" s="1"/>
  <c r="K15" i="5"/>
  <c r="N6" i="5"/>
  <c r="M7" i="5"/>
  <c r="L22" i="5"/>
  <c r="L29" i="5" s="1"/>
  <c r="L8" i="5"/>
  <c r="L15" i="5" s="1"/>
  <c r="L18" i="5" s="1"/>
  <c r="L32" i="5" s="1"/>
  <c r="L9" i="5"/>
  <c r="L10" i="5"/>
  <c r="M22" i="5" l="1"/>
  <c r="M29" i="5" s="1"/>
  <c r="M9" i="5"/>
  <c r="M10" i="5"/>
  <c r="M8" i="5"/>
  <c r="AA6" i="5"/>
  <c r="O6" i="5"/>
  <c r="N7" i="5"/>
  <c r="K18" i="5"/>
  <c r="J21" i="9"/>
  <c r="K18" i="9" s="1"/>
  <c r="L19" i="9"/>
  <c r="L33" i="5"/>
  <c r="M15" i="5" l="1"/>
  <c r="M18" i="5" s="1"/>
  <c r="M32" i="5" s="1"/>
  <c r="K32" i="5"/>
  <c r="N22" i="5"/>
  <c r="AA7" i="5"/>
  <c r="N9" i="5"/>
  <c r="N10" i="5"/>
  <c r="N8" i="5"/>
  <c r="N15" i="5" s="1"/>
  <c r="P6" i="5"/>
  <c r="O7" i="5"/>
  <c r="M19" i="9" l="1"/>
  <c r="M33" i="5"/>
  <c r="Q6" i="5"/>
  <c r="P7" i="5"/>
  <c r="F8" i="6"/>
  <c r="E8" i="6" s="1"/>
  <c r="F5" i="6"/>
  <c r="F10" i="6"/>
  <c r="E10" i="6" s="1"/>
  <c r="F7" i="6"/>
  <c r="E7" i="6" s="1"/>
  <c r="F9" i="6"/>
  <c r="E9" i="6" s="1"/>
  <c r="F6" i="6"/>
  <c r="E6" i="6" s="1"/>
  <c r="N29" i="5"/>
  <c r="AA29" i="5" s="1"/>
  <c r="AA22" i="5"/>
  <c r="O9" i="5"/>
  <c r="O10" i="5"/>
  <c r="O8" i="5"/>
  <c r="O22" i="5"/>
  <c r="N18" i="5"/>
  <c r="AA15" i="5"/>
  <c r="K19" i="9"/>
  <c r="K21" i="9" s="1"/>
  <c r="L18" i="9" s="1"/>
  <c r="L21" i="9" s="1"/>
  <c r="M18" i="9" s="1"/>
  <c r="K33" i="5"/>
  <c r="K34" i="5"/>
  <c r="L34" i="5" s="1"/>
  <c r="M34" i="5" s="1"/>
  <c r="M21" i="9" l="1"/>
  <c r="N18" i="9" s="1"/>
  <c r="F11" i="6"/>
  <c r="E5" i="6"/>
  <c r="E11" i="6" s="1"/>
  <c r="P10" i="5"/>
  <c r="P8" i="5"/>
  <c r="P22" i="5"/>
  <c r="P29" i="5" s="1"/>
  <c r="P9" i="5"/>
  <c r="N32" i="5"/>
  <c r="N34" i="5" s="1"/>
  <c r="AA18" i="5"/>
  <c r="O29" i="5"/>
  <c r="O15" i="5"/>
  <c r="Q7" i="5"/>
  <c r="R6" i="5"/>
  <c r="N19" i="9" l="1"/>
  <c r="N21" i="9" s="1"/>
  <c r="N33" i="5"/>
  <c r="AA32" i="5"/>
  <c r="AA33" i="5" s="1"/>
  <c r="P15" i="5"/>
  <c r="P18" i="5" s="1"/>
  <c r="P32" i="5" s="1"/>
  <c r="P33" i="5" s="1"/>
  <c r="O18" i="5"/>
  <c r="Q22" i="5"/>
  <c r="Q9" i="5"/>
  <c r="Q10" i="5"/>
  <c r="Q8" i="5"/>
  <c r="Q15" i="5" s="1"/>
  <c r="Q18" i="5" s="1"/>
  <c r="AA34" i="5"/>
  <c r="S6" i="5"/>
  <c r="R7" i="5"/>
  <c r="Q32" i="5" l="1"/>
  <c r="Q33" i="5" s="1"/>
  <c r="R8" i="5"/>
  <c r="R15" i="5" s="1"/>
  <c r="R18" i="5" s="1"/>
  <c r="R32" i="5" s="1"/>
  <c r="R33" i="5" s="1"/>
  <c r="R10" i="5"/>
  <c r="R9" i="5"/>
  <c r="R22" i="5"/>
  <c r="R29" i="5" s="1"/>
  <c r="O32" i="5"/>
  <c r="Q29" i="5"/>
  <c r="S7" i="5"/>
  <c r="T6" i="5"/>
  <c r="S22" i="5" l="1"/>
  <c r="S9" i="5"/>
  <c r="S10" i="5"/>
  <c r="S8" i="5"/>
  <c r="T7" i="5"/>
  <c r="U6" i="5"/>
  <c r="O33" i="5"/>
  <c r="O34" i="5"/>
  <c r="P34" i="5" s="1"/>
  <c r="Q34" i="5" s="1"/>
  <c r="R34" i="5" s="1"/>
  <c r="V6" i="5" l="1"/>
  <c r="U7" i="5"/>
  <c r="T10" i="5"/>
  <c r="T9" i="5"/>
  <c r="T8" i="5"/>
  <c r="T15" i="5" s="1"/>
  <c r="T18" i="5" s="1"/>
  <c r="T32" i="5" s="1"/>
  <c r="T33" i="5" s="1"/>
  <c r="T22" i="5"/>
  <c r="T29" i="5" s="1"/>
  <c r="S15" i="5"/>
  <c r="S29" i="5"/>
  <c r="S18" i="5" l="1"/>
  <c r="U10" i="5"/>
  <c r="U9" i="5"/>
  <c r="U8" i="5"/>
  <c r="U15" i="5" s="1"/>
  <c r="U18" i="5" s="1"/>
  <c r="U22" i="5"/>
  <c r="V7" i="5"/>
  <c r="W6" i="5"/>
  <c r="U29" i="5" l="1"/>
  <c r="V10" i="5"/>
  <c r="V9" i="5"/>
  <c r="V8" i="5"/>
  <c r="V15" i="5" s="1"/>
  <c r="V18" i="5" s="1"/>
  <c r="V32" i="5" s="1"/>
  <c r="V33" i="5" s="1"/>
  <c r="V22" i="5"/>
  <c r="V29" i="5" s="1"/>
  <c r="U32" i="5"/>
  <c r="U33" i="5" s="1"/>
  <c r="W7" i="5"/>
  <c r="X6" i="5"/>
  <c r="S32" i="5"/>
  <c r="S33" i="5" l="1"/>
  <c r="S34" i="5"/>
  <c r="T34" i="5" s="1"/>
  <c r="U34" i="5" s="1"/>
  <c r="V34" i="5" s="1"/>
  <c r="X7" i="5"/>
  <c r="Y6" i="5"/>
  <c r="W22" i="5"/>
  <c r="W29" i="5" s="1"/>
  <c r="W8" i="5"/>
  <c r="W15" i="5" s="1"/>
  <c r="W18" i="5" s="1"/>
  <c r="W10" i="5"/>
  <c r="W9" i="5"/>
  <c r="W32" i="5" l="1"/>
  <c r="Z6" i="5"/>
  <c r="Y7" i="5"/>
  <c r="W34" i="5"/>
  <c r="X22" i="5"/>
  <c r="X29" i="5" s="1"/>
  <c r="X10" i="5"/>
  <c r="X8" i="5"/>
  <c r="X15" i="5" s="1"/>
  <c r="X18" i="5" s="1"/>
  <c r="X32" i="5" s="1"/>
  <c r="X33" i="5" s="1"/>
  <c r="X9" i="5"/>
  <c r="X34" i="5" l="1"/>
  <c r="Y22" i="5"/>
  <c r="Y29" i="5" s="1"/>
  <c r="Y9" i="5"/>
  <c r="Y8" i="5"/>
  <c r="Y10" i="5"/>
  <c r="AB6" i="5"/>
  <c r="Z7" i="5"/>
  <c r="W33" i="5"/>
  <c r="Z22" i="5" l="1"/>
  <c r="Z10" i="5"/>
  <c r="Z8" i="5"/>
  <c r="Z9" i="5"/>
  <c r="AB7" i="5"/>
  <c r="Y15" i="5"/>
  <c r="Y18" i="5" s="1"/>
  <c r="Y32" i="5" s="1"/>
  <c r="Y34" i="5" s="1"/>
  <c r="Y33" i="5" l="1"/>
  <c r="Z15" i="5"/>
  <c r="Z29" i="5"/>
  <c r="AB29" i="5" s="1"/>
  <c r="AB22" i="5"/>
  <c r="Z18" i="5" l="1"/>
  <c r="AB15" i="5"/>
  <c r="Z32" i="5" l="1"/>
  <c r="AB18" i="5"/>
  <c r="Z33" i="5" l="1"/>
  <c r="Z34" i="5"/>
  <c r="AB34" i="5" s="1"/>
  <c r="AB32" i="5"/>
  <c r="AB33" i="5" s="1"/>
</calcChain>
</file>

<file path=xl/sharedStrings.xml><?xml version="1.0" encoding="utf-8"?>
<sst xmlns="http://schemas.openxmlformats.org/spreadsheetml/2006/main" count="467" uniqueCount="373">
  <si>
    <t>SparkDate Financial Model</t>
  </si>
  <si>
    <t>Philadelphia Pilot — 24-Month Projection</t>
  </si>
  <si>
    <t>Prepared: May 2026  |  Ancapital Group LLC</t>
  </si>
  <si>
    <t>EXECUTIVE FINANCIAL SUMMARY</t>
  </si>
  <si>
    <t>METRIC</t>
  </si>
  <si>
    <t>VALUE</t>
  </si>
  <si>
    <t>NOTES</t>
  </si>
  <si>
    <t>Launch Market</t>
  </si>
  <si>
    <t>Philadelphia, PA</t>
  </si>
  <si>
    <t>Rittenhouse / Old City / Fishtown</t>
  </si>
  <si>
    <t>Launch Date</t>
  </si>
  <si>
    <t>June 2026</t>
  </si>
  <si>
    <t>Founders Mixer = first event</t>
  </si>
  <si>
    <t>Year 1 Revenue (target)</t>
  </si>
  <si>
    <t>$1.23M</t>
  </si>
  <si>
    <t>Conservative base case</t>
  </si>
  <si>
    <t>Year 1 EBITDA (target)</t>
  </si>
  <si>
    <t>$498K (40.6% margin)</t>
  </si>
  <si>
    <t>Profitable from month 7</t>
  </si>
  <si>
    <t>Year 1 Paid Subscribers</t>
  </si>
  <si>
    <t>1,200</t>
  </si>
  <si>
    <t>End of month 12</t>
  </si>
  <si>
    <t>Year 1 Events Hosted</t>
  </si>
  <si>
    <t>144</t>
  </si>
  <si>
    <t>12/month average</t>
  </si>
  <si>
    <t>Customer Acquisition Cost (CAC)</t>
  </si>
  <si>
    <t>$10.20</t>
  </si>
  <si>
    <t>Blended across channels</t>
  </si>
  <si>
    <t>Lifetime Value (LTV)</t>
  </si>
  <si>
    <t>$612</t>
  </si>
  <si>
    <t>Avg 18-month retention</t>
  </si>
  <si>
    <t>LTV:CAC Ratio</t>
  </si>
  <si>
    <t>60:1</t>
  </si>
  <si>
    <t>Best-in-class for category</t>
  </si>
  <si>
    <t>Seed Capital Required</t>
  </si>
  <si>
    <t>$100K - $130K</t>
  </si>
  <si>
    <t>Runway through breakeven</t>
  </si>
  <si>
    <t>Breakeven Month</t>
  </si>
  <si>
    <t>Month 7</t>
  </si>
  <si>
    <t>Operating cash positive</t>
  </si>
  <si>
    <t>Year 2 Revenue (projection)</t>
  </si>
  <si>
    <t>$4.8M</t>
  </si>
  <si>
    <t>Expansion to NYC + DC</t>
  </si>
  <si>
    <t>WORKBOOK CONTENTS</t>
  </si>
  <si>
    <t>1. Cover</t>
  </si>
  <si>
    <t>2. Assumptions</t>
  </si>
  <si>
    <t>3. Subscription Model</t>
  </si>
  <si>
    <t>4. Event Economics</t>
  </si>
  <si>
    <t>5. Monthly P&amp;L</t>
  </si>
  <si>
    <t>6. CAC &amp; Channel Mix</t>
  </si>
  <si>
    <t>7. Cohort Retention</t>
  </si>
  <si>
    <t>8. Scenarios</t>
  </si>
  <si>
    <t>9. Funding &amp; Runway</t>
  </si>
  <si>
    <t>ASSUMPTIONS — All Model Inputs</t>
  </si>
  <si>
    <t>Yellow = variable inputs. Adjust to run scenarios.</t>
  </si>
  <si>
    <t>SUBSCRIPTION TIER PRICING (per month)</t>
  </si>
  <si>
    <t>Spark Tier — Monthly Price</t>
  </si>
  <si>
    <t>Entry tier; 30-day free trial; 1 event/mo</t>
  </si>
  <si>
    <t>VARIABLE</t>
  </si>
  <si>
    <t>Kindling Tier — Monthly Price</t>
  </si>
  <si>
    <t>Mid tier; includes 1 event/mo + perks</t>
  </si>
  <si>
    <t>Fire Tier — Monthly Price</t>
  </si>
  <si>
    <t>Premium tier; 2 events/mo + priority</t>
  </si>
  <si>
    <t>Spark Free Trial Days</t>
  </si>
  <si>
    <t>Marketing acquisition tool</t>
  </si>
  <si>
    <t>SUBSCRIBER TIER MIX (% of paying users)</t>
  </si>
  <si>
    <t>% on Spark Tier</t>
  </si>
  <si>
    <t>Default tier; price-sensitive users</t>
  </si>
  <si>
    <t>% on Kindling Tier</t>
  </si>
  <si>
    <t>Most popular; best value perception</t>
  </si>
  <si>
    <t>% on Fire Tier</t>
  </si>
  <si>
    <t>Power users; high LTV</t>
  </si>
  <si>
    <t>Total Check (must = 100%)</t>
  </si>
  <si>
    <t>EVENT TICKET PRICING</t>
  </si>
  <si>
    <t>Standard Mixer — Woman Ticket</t>
  </si>
  <si>
    <t>Lower price = better gender balance</t>
  </si>
  <si>
    <t>Standard Mixer — Man Ticket</t>
  </si>
  <si>
    <t>Premium pricing for men's tickets</t>
  </si>
  <si>
    <t>Service Fee per Ticket</t>
  </si>
  <si>
    <t>Covers Stripe + ops overhead</t>
  </si>
  <si>
    <t>Premium Experience Ticket</t>
  </si>
  <si>
    <t>Cooking class, wine tasting, etc.</t>
  </si>
  <si>
    <t>Exclusive Gathering Ticket</t>
  </si>
  <si>
    <t>Rooftop dinners, curated guest lists</t>
  </si>
  <si>
    <t>VENUE PARTNERSHIP ECONOMICS</t>
  </si>
  <si>
    <t>Avg F&amp;B Spend per Attendee</t>
  </si>
  <si>
    <t>Total bar tab including discount</t>
  </si>
  <si>
    <t>F&amp;B Revenue Share to SparkDate</t>
  </si>
  <si>
    <t>10% of total F&amp;B (industry standard)</t>
  </si>
  <si>
    <t>First Drink Discount (venue subsidy)</t>
  </si>
  <si>
    <t>Venue covers 50% of welcome cocktail</t>
  </si>
  <si>
    <t>First Drink Retail Price</t>
  </si>
  <si>
    <t>Standard well drink price</t>
  </si>
  <si>
    <t>Venue Hosting Fee (slow nights)</t>
  </si>
  <si>
    <t>Venues prefer F&amp;B share over hosting fees</t>
  </si>
  <si>
    <t>FIXED</t>
  </si>
  <si>
    <t>EVENT OPERATIONS</t>
  </si>
  <si>
    <t>Avg Attendees per Standard Mixer</t>
  </si>
  <si>
    <t>Capacity range: 25-40</t>
  </si>
  <si>
    <t>Target Gender Split (Women %)</t>
  </si>
  <si>
    <t>Aim for 45-50% women</t>
  </si>
  <si>
    <t>Events per Month (Year 1)</t>
  </si>
  <si>
    <t>3 per week target</t>
  </si>
  <si>
    <t>Event Host Cost</t>
  </si>
  <si>
    <t>Per-event facilitator stipend</t>
  </si>
  <si>
    <t>Event Supplies/Decor</t>
  </si>
  <si>
    <t>Per-event materials budget</t>
  </si>
  <si>
    <t>Event Photography (every other)</t>
  </si>
  <si>
    <t>1 per 2 events for content</t>
  </si>
  <si>
    <t>GROWTH &amp; USER ACQUISITION</t>
  </si>
  <si>
    <t>Month 1 Registered Users (Founding)</t>
  </si>
  <si>
    <t>Hand-curated founding members</t>
  </si>
  <si>
    <t>Monthly User Growth Rate</t>
  </si>
  <si>
    <t>25% MoM compounding</t>
  </si>
  <si>
    <t>Registered → Paid Conversion</t>
  </si>
  <si>
    <t>% of registered users who subscribe</t>
  </si>
  <si>
    <t>Paid User → Event Attendance Rate</t>
  </si>
  <si>
    <t>% of paid users attending at least 1 event/mo</t>
  </si>
  <si>
    <t>Monthly Churn (Spark Tier)</t>
  </si>
  <si>
    <t>Higher churn — entry tier</t>
  </si>
  <si>
    <t>Monthly Churn (Kindling Tier)</t>
  </si>
  <si>
    <t>Mid tier sticks more</t>
  </si>
  <si>
    <t>Monthly Churn (Fire Tier)</t>
  </si>
  <si>
    <t>Lowest churn — engaged users</t>
  </si>
  <si>
    <t>CUSTOMER ACQUISITION COSTS (CAC) BY CHANNEL</t>
  </si>
  <si>
    <t>Organic Social CAC</t>
  </si>
  <si>
    <t>Instagram + TikTok organic</t>
  </si>
  <si>
    <t>Paid Social CAC</t>
  </si>
  <si>
    <t>Meta + TikTok ads</t>
  </si>
  <si>
    <t>Influencer CAC</t>
  </si>
  <si>
    <t>Philly micro-influencer partnerships</t>
  </si>
  <si>
    <t>Referral Program CAC</t>
  </si>
  <si>
    <t>Bring-a-friend incentives</t>
  </si>
  <si>
    <t>Local OOH / Guerrilla CAC</t>
  </si>
  <si>
    <t>Flyers, chalk, posters in target venues</t>
  </si>
  <si>
    <t>PR / Earned Media CAC</t>
  </si>
  <si>
    <t>Billy Penn, Philly Mag mentions</t>
  </si>
  <si>
    <t>CHANNEL MIX (% of new user acquisition)</t>
  </si>
  <si>
    <t>% via Organic Social</t>
  </si>
  <si>
    <t>% via Paid Social</t>
  </si>
  <si>
    <t>% via Influencer</t>
  </si>
  <si>
    <t>% via Referral Program</t>
  </si>
  <si>
    <t>% via Local OOH / Guerrilla</t>
  </si>
  <si>
    <t>% via PR / Earned Media</t>
  </si>
  <si>
    <t>Channel Mix Check (must = 100%)</t>
  </si>
  <si>
    <t>FIXED OPERATING COSTS (Monthly)</t>
  </si>
  <si>
    <t>Founder Salary (you)</t>
  </si>
  <si>
    <t>Year 1: deferred / minimal</t>
  </si>
  <si>
    <t>City Director Salary (Month 6+)</t>
  </si>
  <si>
    <t>Philadelphia ops lead</t>
  </si>
  <si>
    <t>Hosting / Software / Tools</t>
  </si>
  <si>
    <t>Vercel, Firebase, Stripe, ConvertKit</t>
  </si>
  <si>
    <t>Legal &amp; Accounting</t>
  </si>
  <si>
    <t>Bookkeeping + entity maintenance</t>
  </si>
  <si>
    <t>Insurance (Liability)</t>
  </si>
  <si>
    <t>GL + Host Liquor Liability</t>
  </si>
  <si>
    <t>Contingency / Misc</t>
  </si>
  <si>
    <t>Buffer for unexpected ops costs</t>
  </si>
  <si>
    <t>SUBSCRIPTION MODEL — Tier Mix &amp; Blended Economics</t>
  </si>
  <si>
    <t>TIER COMPARISON</t>
  </si>
  <si>
    <t>Metric</t>
  </si>
  <si>
    <t>Spark (Entry)</t>
  </si>
  <si>
    <t>Kindling (Mid)</t>
  </si>
  <si>
    <t>Fire (Premium)</t>
  </si>
  <si>
    <t>Blended Avg</t>
  </si>
  <si>
    <t>Monthly Price</t>
  </si>
  <si>
    <t>% of Paid Subscribers</t>
  </si>
  <si>
    <t>Monthly Churn Rate</t>
  </si>
  <si>
    <t>Avg Lifetime (months)</t>
  </si>
  <si>
    <t>Gross LTV ($)</t>
  </si>
  <si>
    <t>UNIT ECONOMICS — CAC &amp; PAYBACK</t>
  </si>
  <si>
    <t>Blended CAC</t>
  </si>
  <si>
    <t>Blended ARPU (monthly)</t>
  </si>
  <si>
    <t>Payback Period (months)</t>
  </si>
  <si>
    <t>Blended LTV</t>
  </si>
  <si>
    <t>LTV : CAC Ratio</t>
  </si>
  <si>
    <t>EVENT ECONOMICS — Per-Event P&amp;L</t>
  </si>
  <si>
    <t>EVENT INPUTS</t>
  </si>
  <si>
    <t>Attendees per Event</t>
  </si>
  <si>
    <t>Women % of Attendees</t>
  </si>
  <si>
    <t>Women Tickets Sold</t>
  </si>
  <si>
    <t>Men Tickets Sold</t>
  </si>
  <si>
    <t>F&amp;B Share % to SparkDate</t>
  </si>
  <si>
    <t>PER-EVENT REVENUE</t>
  </si>
  <si>
    <t>Women Ticket Revenue</t>
  </si>
  <si>
    <t>Men Ticket Revenue</t>
  </si>
  <si>
    <t>Service Fees Collected</t>
  </si>
  <si>
    <t>F&amp;B Revenue Share</t>
  </si>
  <si>
    <t>TOTAL EVENT REVENUE</t>
  </si>
  <si>
    <t>PER-EVENT COSTS</t>
  </si>
  <si>
    <t>Event Host Stipend</t>
  </si>
  <si>
    <t>Supplies &amp; Decor</t>
  </si>
  <si>
    <t>Photography (50% of events)</t>
  </si>
  <si>
    <t>Stripe Processing Fees (~3%)</t>
  </si>
  <si>
    <t>TOTAL EVENT COSTS</t>
  </si>
  <si>
    <t>PER-EVENT GROSS PROFIT</t>
  </si>
  <si>
    <t>Gross Margin %</t>
  </si>
  <si>
    <t>MONTHLY P&amp;L PROJECTION — 24 Months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</si>
  <si>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</si>
  <si>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</si>
  <si>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</si>
  <si>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</si>
  <si>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</si>
  <si>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</si>
  <si>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</si>
  <si>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</si>
  <si>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</si>
  <si>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</si>
  <si>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</si>
  <si>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</si>
  <si>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</si>
  <si>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</si>
  <si>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</si>
  <si>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</si>
  <si>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</si>
  <si>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</si>
  <si>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</si>
  <si>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</si>
  <si>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</si>
  <si>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</si>
  <si>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</si>
  <si>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</si>
  <si>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Year 1</t>
  </si>
  <si>
    <t>Year 2</t>
  </si>
  <si>
    <t>USER METRICS</t>
  </si>
  <si>
    <t>Registered Users (End of Month)</t>
  </si>
  <si>
    <t>Paid Subscribers (End of Month)</t>
  </si>
  <si>
    <t xml:space="preserve">  Spark Tier Subscribers</t>
  </si>
  <si>
    <t xml:space="preserve">  Kindling Tier Subscribers</t>
  </si>
  <si>
    <t xml:space="preserve">  Fire Tier Subscribers</t>
  </si>
  <si>
    <t>Events Hosted</t>
  </si>
  <si>
    <t>Event Attendees (total)</t>
  </si>
  <si>
    <t>REVENUE</t>
  </si>
  <si>
    <t>Subscription Revenue</t>
  </si>
  <si>
    <t>Event Ticket Revenue</t>
  </si>
  <si>
    <t>TOTAL REVENUE</t>
  </si>
  <si>
    <t>COSTS</t>
  </si>
  <si>
    <t>Event Operations Cost</t>
  </si>
  <si>
    <t>Marketing &amp; CAC</t>
  </si>
  <si>
    <t>Software &amp; Tools</t>
  </si>
  <si>
    <t>Founder Compensation</t>
  </si>
  <si>
    <t>City Director Salary</t>
  </si>
  <si>
    <t>Insurance</t>
  </si>
  <si>
    <t>TOTAL COSTS</t>
  </si>
  <si>
    <t>PROFITABILITY</t>
  </si>
  <si>
    <t>EBITDA (Revenue - Costs)</t>
  </si>
  <si>
    <t>EBITDA Margin %</t>
  </si>
  <si>
    <t>Cumulative EBITDA</t>
  </si>
  <si>
    <t>CUSTOMER ACQUISITION COST (CAC) BY CHANNEL</t>
  </si>
  <si>
    <t>Channel</t>
  </si>
  <si>
    <t>% Mix</t>
  </si>
  <si>
    <t>CAC ($)</t>
  </si>
  <si>
    <t>Year 1 Spend</t>
  </si>
  <si>
    <t>Y1 Acquisitions</t>
  </si>
  <si>
    <t>Notes</t>
  </si>
  <si>
    <t>Organic Social</t>
  </si>
  <si>
    <t>Instagram + TikTok content</t>
  </si>
  <si>
    <t>Paid Social</t>
  </si>
  <si>
    <t>Meta + TikTok ads (limited Year 1)</t>
  </si>
  <si>
    <t>Influencer Partnerships</t>
  </si>
  <si>
    <t>Philly micro-influencers (10K-100K)</t>
  </si>
  <si>
    <t>Referral Program</t>
  </si>
  <si>
    <t>Bring-a-friend incentive</t>
  </si>
  <si>
    <t>Local OOH / Guerrilla</t>
  </si>
  <si>
    <t>Flyers, posters, chalk art</t>
  </si>
  <si>
    <t>PR / Earned Media</t>
  </si>
  <si>
    <t>Billy Penn, Philly Mag, podcasts</t>
  </si>
  <si>
    <t>TOTAL / BLENDED</t>
  </si>
  <si>
    <t>PAYBACK ANALYSIS</t>
  </si>
  <si>
    <t>Blended Monthly ARPU</t>
  </si>
  <si>
    <t>COHORT RETENTION — Monthly Subscriber Survival</t>
  </si>
  <si>
    <t>% retained from cohort start (uses blended churn)</t>
  </si>
  <si>
    <t>Cohort</t>
  </si>
  <si>
    <t>M1 Cohort</t>
  </si>
  <si>
    <t>M2 Cohort</t>
  </si>
  <si>
    <t>M3 Cohort</t>
  </si>
  <si>
    <t>M4 Cohort</t>
  </si>
  <si>
    <t>M5 Cohort</t>
  </si>
  <si>
    <t>M6 Cohort</t>
  </si>
  <si>
    <t>M7 Cohort</t>
  </si>
  <si>
    <t>M8 Cohort</t>
  </si>
  <si>
    <t>M9 Cohort</t>
  </si>
  <si>
    <t>M10 Cohort</t>
  </si>
  <si>
    <t>M11 Cohort</t>
  </si>
  <si>
    <t>M12 Cohort</t>
  </si>
  <si>
    <t>LTV CALCULATION</t>
  </si>
  <si>
    <t>Blended Monthly Churn</t>
  </si>
  <si>
    <t>Avg Customer Lifetime (months)</t>
  </si>
  <si>
    <t>Gross LTV (no discount)</t>
  </si>
  <si>
    <t>LTV after gross margin (70%)</t>
  </si>
  <si>
    <t>Net LTV (LTV - CAC)</t>
  </si>
  <si>
    <t>SCENARIO ANALYSIS — Bear / Base / Bull</t>
  </si>
  <si>
    <t>Assumption</t>
  </si>
  <si>
    <t>Bear Case</t>
  </si>
  <si>
    <t>Base Case</t>
  </si>
  <si>
    <t>Bull Case</t>
  </si>
  <si>
    <t>15%</t>
  </si>
  <si>
    <t>25%</t>
  </si>
  <si>
    <t>35%</t>
  </si>
  <si>
    <t>Range of plausible growth</t>
  </si>
  <si>
    <t>Reg → Paid Conversion</t>
  </si>
  <si>
    <t>12%</t>
  </si>
  <si>
    <t>18%</t>
  </si>
  <si>
    <t>Depends on event quality</t>
  </si>
  <si>
    <t>8%</t>
  </si>
  <si>
    <t>5%</t>
  </si>
  <si>
    <t>3%</t>
  </si>
  <si>
    <t>Best-in-class for subscription</t>
  </si>
  <si>
    <t>Avg Attendees per Event</t>
  </si>
  <si>
    <t>20</t>
  </si>
  <si>
    <t>30</t>
  </si>
  <si>
    <t>40</t>
  </si>
  <si>
    <t>Capacity constraints</t>
  </si>
  <si>
    <t>$15</t>
  </si>
  <si>
    <t>$7</t>
  </si>
  <si>
    <t>More efficient at scale</t>
  </si>
  <si>
    <t>Events per Month</t>
  </si>
  <si>
    <t>8</t>
  </si>
  <si>
    <t>12</t>
  </si>
  <si>
    <t>16</t>
  </si>
  <si>
    <t>Operating capacity</t>
  </si>
  <si>
    <t>PROJECTED OUTCOMES (Year 1)</t>
  </si>
  <si>
    <t>Year 1 Revenue</t>
  </si>
  <si>
    <t>$520K</t>
  </si>
  <si>
    <t>$2.4M</t>
  </si>
  <si>
    <t>Year 1 EBITDA</t>
  </si>
  <si>
    <t>($120K)</t>
  </si>
  <si>
    <t>$498K</t>
  </si>
  <si>
    <t>$1.1M</t>
  </si>
  <si>
    <t>Year 1 EBITDA Margin</t>
  </si>
  <si>
    <t>(23%)</t>
  </si>
  <si>
    <t>40.6%</t>
  </si>
  <si>
    <t>46%</t>
  </si>
  <si>
    <t>Year 1 Paid Subscribers (EoY)</t>
  </si>
  <si>
    <t>550</t>
  </si>
  <si>
    <t>2,400</t>
  </si>
  <si>
    <t>Never (Y1)</t>
  </si>
  <si>
    <t>Month 4</t>
  </si>
  <si>
    <t>Capital Required</t>
  </si>
  <si>
    <t>$200K+</t>
  </si>
  <si>
    <t>$100-130K</t>
  </si>
  <si>
    <t>$60-80K</t>
  </si>
  <si>
    <t>Year 2 Revenue</t>
  </si>
  <si>
    <t>$1.8M</t>
  </si>
  <si>
    <t>$10M+</t>
  </si>
  <si>
    <t>FUNDING REQUIREMENTS &amp; CASH RUNWAY</t>
  </si>
  <si>
    <t>USE OF FUNDS — SEED CAPITAL</t>
  </si>
  <si>
    <t>Category</t>
  </si>
  <si>
    <t>Amount</t>
  </si>
  <si>
    <t>% of Total</t>
  </si>
  <si>
    <t>Description</t>
  </si>
  <si>
    <t>Pre-Launch Operating Capital</t>
  </si>
  <si>
    <t>6 months runway before breakeven</t>
  </si>
  <si>
    <t>Initial Event Capital</t>
  </si>
  <si>
    <t>Pre-funded venue tabs, decor, photography for first 12 events</t>
  </si>
  <si>
    <t>Marketing &amp; User Acquisition</t>
  </si>
  <si>
    <t>Influencer partnerships, paid social testing, PR</t>
  </si>
  <si>
    <t>Legal &amp; Compliance Setup</t>
  </si>
  <si>
    <t>Entity setup, ToS, privacy, liability insurance</t>
  </si>
  <si>
    <t>Software &amp; Infrastructure</t>
  </si>
  <si>
    <t>1-year subscriptions: Vercel, Firebase, ConvertKit, design tools</t>
  </si>
  <si>
    <t>Founder Salary (deferred Y1)</t>
  </si>
  <si>
    <t>Founder takes no salary in Year 1 to preserve capital</t>
  </si>
  <si>
    <t>City Director (Months 6-12)</t>
  </si>
  <si>
    <t>$5K/mo from Month 6 = $35K (7 months)</t>
  </si>
  <si>
    <t>Working Capital Buffer</t>
  </si>
  <si>
    <t>Cash reserve for unexpected costs</t>
  </si>
  <si>
    <t>TOTAL SEED CAPITAL REQUIRED</t>
  </si>
  <si>
    <t>MONTH-BY-MONTH CASH RUNWAY</t>
  </si>
  <si>
    <t>Opening Cash</t>
  </si>
  <si>
    <t>Monthly EBITDA</t>
  </si>
  <si>
    <t>CapEx / Investment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</si>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</sst>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;&quot;($&quot;#,##0.00\);\-"/>
    <numFmt numFmtId="165" formatCode="#,##0;\(#,##0\);\-"/>
    <numFmt numFmtId="166" formatCode="0.0%;\(0.0%\);\-"/>
    <numFmt numFmtId="167" formatCode="\$#,##0;&quot;($&quot;#,##0\);\-"/>
    <numFmt numFmtId="168" formatCode="0.0"/>
    <numFmt numFmtId="169" formatCode="0.0\x"/>
    <numFmt numFmtId="170" formatCode="0.0&quot; months&quot;"/>
  </numFmts>
  <fonts count="15" x14ac:knownFonts="1">
    <font>
      <sz val="11"/>
      <color theme="1"/>
      <name val="Calibri"/>
      <family val="2"/>
      <charset val="1"/>
    </font>
    <font>
      <b/>
      <sz val="22"/>
      <color rgb="FF0A0E27"/>
      <name val="Arial"/>
      <family val="2"/>
    </font>
    <font>
      <i/>
      <sz val="13"/>
      <color rgb="FFFF6B6B"/>
      <name val="Arial"/>
      <family val="2"/>
    </font>
    <font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14"/>
      <color rgb="FFFFFFFF"/>
      <name val="Arial"/>
      <family val="2"/>
    </font>
    <font>
      <i/>
      <sz val="10"/>
      <color rgb="FF666666"/>
      <name val="Arial"/>
      <family val="2"/>
    </font>
    <font>
      <sz val="10"/>
      <color rgb="FF0000FF"/>
      <name val="Arial"/>
      <family val="2"/>
    </font>
    <font>
      <b/>
      <sz val="9"/>
      <color rgb="FFFF6B6B"/>
      <name val="Arial"/>
      <family val="2"/>
    </font>
    <font>
      <sz val="9"/>
      <color rgb="FF999999"/>
      <name val="Arial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A0E27"/>
        <bgColor rgb="FF000000"/>
      </patternFill>
    </fill>
    <fill>
      <patternFill patternType="solid">
        <fgColor rgb="FFFF6B6B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DFF0D8"/>
        <bgColor rgb="FFFCE4E4"/>
      </patternFill>
    </fill>
    <fill>
      <patternFill patternType="solid">
        <fgColor rgb="FFFCE4E4"/>
        <bgColor rgb="FFDFF0D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3" borderId="2" xfId="0" applyFill="1" applyBorder="1"/>
    <xf numFmtId="0" fontId="7" fillId="0" borderId="2" xfId="0" applyFont="1" applyBorder="1" applyAlignment="1">
      <alignment horizontal="left" vertical="center" indent="1"/>
    </xf>
    <xf numFmtId="0" fontId="4" fillId="3" borderId="0" xfId="0" applyFont="1" applyFill="1"/>
    <xf numFmtId="0" fontId="4" fillId="3" borderId="0" xfId="0" applyFont="1" applyFill="1" applyAlignment="1">
      <alignment horizontal="left" vertical="center" indent="1"/>
    </xf>
    <xf numFmtId="0" fontId="9" fillId="0" borderId="0" xfId="0" applyFont="1"/>
    <xf numFmtId="0" fontId="8" fillId="2" borderId="0" xfId="0" applyFont="1" applyFill="1" applyAlignment="1">
      <alignment horizontal="center" vertical="center"/>
    </xf>
    <xf numFmtId="0" fontId="0" fillId="0" borderId="1" xfId="0" applyBorder="1"/>
    <xf numFmtId="0" fontId="4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0" fillId="0" borderId="1" xfId="0" applyBorder="1"/>
    <xf numFmtId="0" fontId="6" fillId="0" borderId="1" xfId="0" applyFont="1" applyBorder="1" applyAlignment="1">
      <alignment horizontal="left" vertical="center" indent="1"/>
    </xf>
    <xf numFmtId="164" fontId="10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166" fontId="5" fillId="5" borderId="1" xfId="0" applyNumberFormat="1" applyFont="1" applyFill="1" applyBorder="1"/>
    <xf numFmtId="167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6" fontId="13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9" fontId="5" fillId="5" borderId="1" xfId="0" applyNumberFormat="1" applyFont="1" applyFill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 indent="1"/>
    </xf>
    <xf numFmtId="165" fontId="14" fillId="0" borderId="1" xfId="0" applyNumberFormat="1" applyFont="1" applyBorder="1" applyAlignment="1">
      <alignment horizontal="right" vertical="center"/>
    </xf>
    <xf numFmtId="166" fontId="5" fillId="0" borderId="0" xfId="0" applyNumberFormat="1" applyFont="1"/>
    <xf numFmtId="0" fontId="4" fillId="3" borderId="1" xfId="0" applyFont="1" applyFill="1" applyBorder="1" applyAlignment="1">
      <alignment horizontal="left" vertical="center" indent="1"/>
    </xf>
    <xf numFmtId="166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70" fontId="5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/>
    <xf numFmtId="167" fontId="4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4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A0E2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1"/>
  <sheetViews>
    <sheetView tabSelected="1" topLeftCell="A11" zoomScaleNormal="100" workbookViewId="0"/>
  </sheetViews>
  <sheetFormatPr defaultColWidth="8.6640625" defaultRowHeight="14.4" x14ac:dyDescent="0.3"/>
  <cols>
    <col min="1" max="1" width="4" customWidth="1"/>
    <col min="2" max="2" width="35" customWidth="1"/>
    <col min="3" max="3" width="25" customWidth="1"/>
    <col min="4" max="4" width="50" customWidth="1"/>
  </cols>
  <sheetData>
    <row r="2" spans="2:4" ht="31.5" customHeight="1" x14ac:dyDescent="0.5">
      <c r="B2" s="9" t="s">
        <v>0</v>
      </c>
    </row>
    <row r="3" spans="2:4" ht="21.75" customHeight="1" x14ac:dyDescent="0.35">
      <c r="B3" s="10" t="s">
        <v>1</v>
      </c>
    </row>
    <row r="4" spans="2:4" x14ac:dyDescent="0.3">
      <c r="B4" s="11" t="s">
        <v>2</v>
      </c>
    </row>
    <row r="6" spans="2:4" x14ac:dyDescent="0.3">
      <c r="B6" s="8" t="s">
        <v>3</v>
      </c>
      <c r="C6" s="8"/>
      <c r="D6" s="8"/>
    </row>
    <row r="7" spans="2:4" x14ac:dyDescent="0.3">
      <c r="B7" s="12" t="s">
        <v>4</v>
      </c>
      <c r="C7" s="12" t="s">
        <v>5</v>
      </c>
      <c r="D7" s="12" t="s">
        <v>6</v>
      </c>
    </row>
    <row r="8" spans="2:4" x14ac:dyDescent="0.3">
      <c r="B8" s="13" t="s">
        <v>7</v>
      </c>
      <c r="C8" s="14" t="s">
        <v>8</v>
      </c>
      <c r="D8" s="15" t="s">
        <v>9</v>
      </c>
    </row>
    <row r="9" spans="2:4" x14ac:dyDescent="0.3">
      <c r="B9" s="13" t="s">
        <v>10</v>
      </c>
      <c r="C9" s="14" t="s">
        <v>11</v>
      </c>
      <c r="D9" s="15" t="s">
        <v>12</v>
      </c>
    </row>
    <row r="10" spans="2:4" x14ac:dyDescent="0.3">
      <c r="B10" s="13" t="s">
        <v>13</v>
      </c>
      <c r="C10" s="14" t="s">
        <v>14</v>
      </c>
      <c r="D10" s="15" t="s">
        <v>15</v>
      </c>
    </row>
    <row r="11" spans="2:4" x14ac:dyDescent="0.3">
      <c r="B11" s="13" t="s">
        <v>16</v>
      </c>
      <c r="C11" s="14" t="s">
        <v>17</v>
      </c>
      <c r="D11" s="15" t="s">
        <v>18</v>
      </c>
    </row>
    <row r="12" spans="2:4" x14ac:dyDescent="0.3">
      <c r="B12" s="13" t="s">
        <v>19</v>
      </c>
      <c r="C12" s="14" t="s">
        <v>20</v>
      </c>
      <c r="D12" s="15" t="s">
        <v>21</v>
      </c>
    </row>
    <row r="13" spans="2:4" x14ac:dyDescent="0.3">
      <c r="B13" s="13" t="s">
        <v>22</v>
      </c>
      <c r="C13" s="14" t="s">
        <v>23</v>
      </c>
      <c r="D13" s="15" t="s">
        <v>24</v>
      </c>
    </row>
    <row r="14" spans="2:4" x14ac:dyDescent="0.3">
      <c r="B14" s="13" t="s">
        <v>25</v>
      </c>
      <c r="C14" s="14" t="s">
        <v>26</v>
      </c>
      <c r="D14" s="15" t="s">
        <v>27</v>
      </c>
    </row>
    <row r="15" spans="2:4" x14ac:dyDescent="0.3">
      <c r="B15" s="13" t="s">
        <v>28</v>
      </c>
      <c r="C15" s="14" t="s">
        <v>29</v>
      </c>
      <c r="D15" s="15" t="s">
        <v>30</v>
      </c>
    </row>
    <row r="16" spans="2:4" x14ac:dyDescent="0.3">
      <c r="B16" s="13" t="s">
        <v>31</v>
      </c>
      <c r="C16" s="14" t="s">
        <v>32</v>
      </c>
      <c r="D16" s="15" t="s">
        <v>33</v>
      </c>
    </row>
    <row r="17" spans="2:4" x14ac:dyDescent="0.3">
      <c r="B17" s="13" t="s">
        <v>34</v>
      </c>
      <c r="C17" s="14" t="s">
        <v>35</v>
      </c>
      <c r="D17" s="15" t="s">
        <v>36</v>
      </c>
    </row>
    <row r="18" spans="2:4" x14ac:dyDescent="0.3">
      <c r="B18" s="13" t="s">
        <v>37</v>
      </c>
      <c r="C18" s="14" t="s">
        <v>38</v>
      </c>
      <c r="D18" s="15" t="s">
        <v>39</v>
      </c>
    </row>
    <row r="19" spans="2:4" x14ac:dyDescent="0.3">
      <c r="B19" s="13" t="s">
        <v>40</v>
      </c>
      <c r="C19" s="14" t="s">
        <v>41</v>
      </c>
      <c r="D19" s="15" t="s">
        <v>42</v>
      </c>
    </row>
    <row r="22" spans="2:4" x14ac:dyDescent="0.3">
      <c r="B22" s="8" t="s">
        <v>43</v>
      </c>
      <c r="C22" s="8"/>
      <c r="D22" s="8"/>
    </row>
    <row r="23" spans="2:4" x14ac:dyDescent="0.3">
      <c r="B23" s="13" t="s">
        <v>44</v>
      </c>
      <c r="C23" s="7"/>
      <c r="D23" s="7"/>
    </row>
    <row r="24" spans="2:4" x14ac:dyDescent="0.3">
      <c r="B24" s="13" t="s">
        <v>45</v>
      </c>
      <c r="C24" s="7"/>
      <c r="D24" s="7"/>
    </row>
    <row r="25" spans="2:4" x14ac:dyDescent="0.3">
      <c r="B25" s="13" t="s">
        <v>46</v>
      </c>
      <c r="C25" s="7"/>
      <c r="D25" s="7"/>
    </row>
    <row r="26" spans="2:4" x14ac:dyDescent="0.3">
      <c r="B26" s="13" t="s">
        <v>47</v>
      </c>
      <c r="C26" s="7"/>
      <c r="D26" s="7"/>
    </row>
    <row r="27" spans="2:4" x14ac:dyDescent="0.3">
      <c r="B27" s="13" t="s">
        <v>48</v>
      </c>
      <c r="C27" s="7"/>
      <c r="D27" s="7"/>
    </row>
    <row r="28" spans="2:4" x14ac:dyDescent="0.3">
      <c r="B28" s="13" t="s">
        <v>49</v>
      </c>
      <c r="C28" s="7"/>
      <c r="D28" s="7"/>
    </row>
    <row r="29" spans="2:4" x14ac:dyDescent="0.3">
      <c r="B29" s="13" t="s">
        <v>50</v>
      </c>
      <c r="C29" s="7"/>
      <c r="D29" s="7"/>
    </row>
    <row r="30" spans="2:4" x14ac:dyDescent="0.3">
      <c r="B30" s="13" t="s">
        <v>51</v>
      </c>
      <c r="C30" s="7"/>
      <c r="D30" s="7"/>
    </row>
    <row r="31" spans="2:4" x14ac:dyDescent="0.3">
      <c r="B31" s="13" t="s">
        <v>52</v>
      </c>
      <c r="C31" s="7"/>
      <c r="D31" s="7"/>
    </row>
  </sheetData>
  <mergeCells count="11">
    <mergeCell ref="C31:D31"/>
    <mergeCell ref="C26:D26"/>
    <mergeCell ref="C27:D27"/>
    <mergeCell ref="C28:D28"/>
    <mergeCell ref="C29:D29"/>
    <mergeCell ref="C30:D30"/>
    <mergeCell ref="B6:D6"/>
    <mergeCell ref="B22:D22"/>
    <mergeCell ref="C23:D23"/>
    <mergeCell ref="C24:D24"/>
    <mergeCell ref="C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1"/>
  <sheetViews>
    <sheetView topLeftCell="A12" zoomScaleNormal="100" workbookViewId="0">
      <selection activeCell="C44" sqref="C44"/>
    </sheetView>
  </sheetViews>
  <sheetFormatPr defaultColWidth="8.6640625" defaultRowHeight="14.4" x14ac:dyDescent="0.3"/>
  <cols>
    <col min="1" max="1" width="3" customWidth="1"/>
    <col min="2" max="2" width="40" customWidth="1"/>
    <col min="3" max="3" width="15" customWidth="1"/>
    <col min="4" max="4" width="50" customWidth="1"/>
    <col min="5" max="5" width="15" customWidth="1"/>
  </cols>
  <sheetData>
    <row r="2" spans="2:5" ht="27.75" customHeight="1" x14ac:dyDescent="0.3">
      <c r="B2" s="6" t="s">
        <v>53</v>
      </c>
      <c r="C2" s="6"/>
      <c r="D2" s="6"/>
      <c r="E2" s="6"/>
    </row>
    <row r="3" spans="2:5" x14ac:dyDescent="0.3">
      <c r="B3" s="5" t="s">
        <v>54</v>
      </c>
      <c r="C3" s="5"/>
      <c r="D3" s="5"/>
      <c r="E3" s="5"/>
    </row>
    <row r="5" spans="2:5" x14ac:dyDescent="0.3">
      <c r="B5" s="4" t="s">
        <v>55</v>
      </c>
      <c r="C5" s="4"/>
      <c r="D5" s="4"/>
      <c r="E5" s="4"/>
    </row>
    <row r="6" spans="2:5" x14ac:dyDescent="0.3">
      <c r="B6" s="17" t="s">
        <v>56</v>
      </c>
      <c r="C6" s="18">
        <v>9.99</v>
      </c>
      <c r="D6" s="15" t="s">
        <v>57</v>
      </c>
      <c r="E6" s="19" t="s">
        <v>58</v>
      </c>
    </row>
    <row r="7" spans="2:5" x14ac:dyDescent="0.3">
      <c r="B7" s="17" t="s">
        <v>59</v>
      </c>
      <c r="C7" s="18">
        <v>19.989999999999998</v>
      </c>
      <c r="D7" s="15" t="s">
        <v>60</v>
      </c>
      <c r="E7" s="19" t="s">
        <v>58</v>
      </c>
    </row>
    <row r="8" spans="2:5" x14ac:dyDescent="0.3">
      <c r="B8" s="17" t="s">
        <v>61</v>
      </c>
      <c r="C8" s="18">
        <v>39.99</v>
      </c>
      <c r="D8" s="15" t="s">
        <v>62</v>
      </c>
      <c r="E8" s="19" t="s">
        <v>58</v>
      </c>
    </row>
    <row r="9" spans="2:5" x14ac:dyDescent="0.3">
      <c r="B9" s="17" t="s">
        <v>63</v>
      </c>
      <c r="C9" s="20">
        <v>30</v>
      </c>
      <c r="D9" s="15" t="s">
        <v>64</v>
      </c>
      <c r="E9" s="19" t="s">
        <v>58</v>
      </c>
    </row>
    <row r="11" spans="2:5" x14ac:dyDescent="0.3">
      <c r="B11" s="4" t="s">
        <v>65</v>
      </c>
      <c r="C11" s="4"/>
      <c r="D11" s="4"/>
      <c r="E11" s="4"/>
    </row>
    <row r="12" spans="2:5" x14ac:dyDescent="0.3">
      <c r="B12" s="17" t="s">
        <v>66</v>
      </c>
      <c r="C12" s="21">
        <v>0.45</v>
      </c>
      <c r="D12" s="15" t="s">
        <v>67</v>
      </c>
      <c r="E12" s="19" t="s">
        <v>58</v>
      </c>
    </row>
    <row r="13" spans="2:5" x14ac:dyDescent="0.3">
      <c r="B13" s="17" t="s">
        <v>68</v>
      </c>
      <c r="C13" s="21">
        <v>0.4</v>
      </c>
      <c r="D13" s="15" t="s">
        <v>69</v>
      </c>
      <c r="E13" s="19" t="s">
        <v>58</v>
      </c>
    </row>
    <row r="14" spans="2:5" x14ac:dyDescent="0.3">
      <c r="B14" s="17" t="s">
        <v>70</v>
      </c>
      <c r="C14" s="21">
        <v>0.15</v>
      </c>
      <c r="D14" s="15" t="s">
        <v>71</v>
      </c>
      <c r="E14" s="19" t="s">
        <v>58</v>
      </c>
    </row>
    <row r="15" spans="2:5" x14ac:dyDescent="0.3">
      <c r="B15" s="22" t="s">
        <v>72</v>
      </c>
      <c r="C15" s="23">
        <f>C12+C13+C14</f>
        <v>1</v>
      </c>
      <c r="D15" s="16"/>
      <c r="E15" s="16"/>
    </row>
    <row r="17" spans="2:5" x14ac:dyDescent="0.3">
      <c r="B17" s="4" t="s">
        <v>73</v>
      </c>
      <c r="C17" s="4"/>
      <c r="D17" s="4"/>
      <c r="E17" s="4"/>
    </row>
    <row r="18" spans="2:5" x14ac:dyDescent="0.3">
      <c r="B18" s="17" t="s">
        <v>74</v>
      </c>
      <c r="C18" s="18">
        <v>20</v>
      </c>
      <c r="D18" s="15" t="s">
        <v>75</v>
      </c>
      <c r="E18" s="19" t="s">
        <v>58</v>
      </c>
    </row>
    <row r="19" spans="2:5" x14ac:dyDescent="0.3">
      <c r="B19" s="17" t="s">
        <v>76</v>
      </c>
      <c r="C19" s="18">
        <v>40</v>
      </c>
      <c r="D19" s="15" t="s">
        <v>77</v>
      </c>
      <c r="E19" s="19" t="s">
        <v>58</v>
      </c>
    </row>
    <row r="20" spans="2:5" x14ac:dyDescent="0.3">
      <c r="B20" s="17" t="s">
        <v>78</v>
      </c>
      <c r="C20" s="18">
        <v>2.5</v>
      </c>
      <c r="D20" s="15" t="s">
        <v>79</v>
      </c>
      <c r="E20" s="19" t="s">
        <v>58</v>
      </c>
    </row>
    <row r="21" spans="2:5" x14ac:dyDescent="0.3">
      <c r="B21" s="17" t="s">
        <v>80</v>
      </c>
      <c r="C21" s="18">
        <v>65</v>
      </c>
      <c r="D21" s="15" t="s">
        <v>81</v>
      </c>
      <c r="E21" s="19" t="s">
        <v>58</v>
      </c>
    </row>
    <row r="22" spans="2:5" x14ac:dyDescent="0.3">
      <c r="B22" s="17" t="s">
        <v>82</v>
      </c>
      <c r="C22" s="18">
        <v>125</v>
      </c>
      <c r="D22" s="15" t="s">
        <v>83</v>
      </c>
      <c r="E22" s="19" t="s">
        <v>58</v>
      </c>
    </row>
    <row r="24" spans="2:5" x14ac:dyDescent="0.3">
      <c r="B24" s="4" t="s">
        <v>84</v>
      </c>
      <c r="C24" s="4"/>
      <c r="D24" s="4"/>
      <c r="E24" s="4"/>
    </row>
    <row r="25" spans="2:5" x14ac:dyDescent="0.3">
      <c r="B25" s="17" t="s">
        <v>85</v>
      </c>
      <c r="C25" s="18">
        <v>0</v>
      </c>
      <c r="D25" s="15" t="s">
        <v>86</v>
      </c>
      <c r="E25" s="19" t="s">
        <v>58</v>
      </c>
    </row>
    <row r="26" spans="2:5" x14ac:dyDescent="0.3">
      <c r="B26" s="17" t="s">
        <v>87</v>
      </c>
      <c r="C26" s="21">
        <v>0</v>
      </c>
      <c r="D26" s="15" t="s">
        <v>88</v>
      </c>
      <c r="E26" s="19" t="s">
        <v>58</v>
      </c>
    </row>
    <row r="27" spans="2:5" x14ac:dyDescent="0.3">
      <c r="B27" s="17" t="s">
        <v>89</v>
      </c>
      <c r="C27" s="21">
        <v>0.5</v>
      </c>
      <c r="D27" s="15" t="s">
        <v>90</v>
      </c>
      <c r="E27" s="19" t="s">
        <v>58</v>
      </c>
    </row>
    <row r="28" spans="2:5" x14ac:dyDescent="0.3">
      <c r="B28" s="17" t="s">
        <v>91</v>
      </c>
      <c r="C28" s="18">
        <v>12</v>
      </c>
      <c r="D28" s="15" t="s">
        <v>92</v>
      </c>
      <c r="E28" s="19" t="s">
        <v>58</v>
      </c>
    </row>
    <row r="29" spans="2:5" x14ac:dyDescent="0.3">
      <c r="B29" s="17" t="s">
        <v>93</v>
      </c>
      <c r="C29" s="24">
        <v>0</v>
      </c>
      <c r="D29" s="15" t="s">
        <v>94</v>
      </c>
      <c r="E29" s="25" t="s">
        <v>95</v>
      </c>
    </row>
    <row r="31" spans="2:5" x14ac:dyDescent="0.3">
      <c r="B31" s="4" t="s">
        <v>96</v>
      </c>
      <c r="C31" s="4"/>
      <c r="D31" s="4"/>
      <c r="E31" s="4"/>
    </row>
    <row r="32" spans="2:5" x14ac:dyDescent="0.3">
      <c r="B32" s="17" t="s">
        <v>97</v>
      </c>
      <c r="C32" s="20">
        <v>30</v>
      </c>
      <c r="D32" s="15" t="s">
        <v>98</v>
      </c>
      <c r="E32" s="19" t="s">
        <v>58</v>
      </c>
    </row>
    <row r="33" spans="2:5" x14ac:dyDescent="0.3">
      <c r="B33" s="17" t="s">
        <v>99</v>
      </c>
      <c r="C33" s="21">
        <v>0.45</v>
      </c>
      <c r="D33" s="15" t="s">
        <v>100</v>
      </c>
      <c r="E33" s="19" t="s">
        <v>58</v>
      </c>
    </row>
    <row r="34" spans="2:5" x14ac:dyDescent="0.3">
      <c r="B34" s="17" t="s">
        <v>101</v>
      </c>
      <c r="C34" s="20">
        <v>12</v>
      </c>
      <c r="D34" s="15" t="s">
        <v>102</v>
      </c>
      <c r="E34" s="19" t="s">
        <v>58</v>
      </c>
    </row>
    <row r="35" spans="2:5" x14ac:dyDescent="0.3">
      <c r="B35" s="17" t="s">
        <v>103</v>
      </c>
      <c r="C35" s="26">
        <v>150</v>
      </c>
      <c r="D35" s="15" t="s">
        <v>104</v>
      </c>
      <c r="E35" s="19" t="s">
        <v>58</v>
      </c>
    </row>
    <row r="36" spans="2:5" x14ac:dyDescent="0.3">
      <c r="B36" s="17" t="s">
        <v>105</v>
      </c>
      <c r="C36" s="26">
        <v>75</v>
      </c>
      <c r="D36" s="15" t="s">
        <v>106</v>
      </c>
      <c r="E36" s="19" t="s">
        <v>58</v>
      </c>
    </row>
    <row r="37" spans="2:5" x14ac:dyDescent="0.3">
      <c r="B37" s="17" t="s">
        <v>107</v>
      </c>
      <c r="C37" s="26">
        <v>250</v>
      </c>
      <c r="D37" s="15" t="s">
        <v>108</v>
      </c>
      <c r="E37" s="19" t="s">
        <v>58</v>
      </c>
    </row>
    <row r="39" spans="2:5" x14ac:dyDescent="0.3">
      <c r="B39" s="4" t="s">
        <v>109</v>
      </c>
      <c r="C39" s="4"/>
      <c r="D39" s="4"/>
      <c r="E39" s="4"/>
    </row>
    <row r="40" spans="2:5" x14ac:dyDescent="0.3">
      <c r="B40" s="17" t="s">
        <v>110</v>
      </c>
      <c r="C40" s="20">
        <v>200</v>
      </c>
      <c r="D40" s="15" t="s">
        <v>111</v>
      </c>
      <c r="E40" s="19" t="s">
        <v>58</v>
      </c>
    </row>
    <row r="41" spans="2:5" x14ac:dyDescent="0.3">
      <c r="B41" s="17" t="s">
        <v>112</v>
      </c>
      <c r="C41" s="21">
        <v>0.25</v>
      </c>
      <c r="D41" s="15" t="s">
        <v>113</v>
      </c>
      <c r="E41" s="19" t="s">
        <v>58</v>
      </c>
    </row>
    <row r="42" spans="2:5" x14ac:dyDescent="0.3">
      <c r="B42" s="17" t="s">
        <v>114</v>
      </c>
      <c r="C42" s="21">
        <v>0.18</v>
      </c>
      <c r="D42" s="15" t="s">
        <v>115</v>
      </c>
      <c r="E42" s="19" t="s">
        <v>58</v>
      </c>
    </row>
    <row r="43" spans="2:5" x14ac:dyDescent="0.3">
      <c r="B43" s="17" t="s">
        <v>116</v>
      </c>
      <c r="C43" s="21">
        <v>0.55000000000000004</v>
      </c>
      <c r="D43" s="15" t="s">
        <v>117</v>
      </c>
      <c r="E43" s="19" t="s">
        <v>58</v>
      </c>
    </row>
    <row r="44" spans="2:5" x14ac:dyDescent="0.3">
      <c r="B44" s="17" t="s">
        <v>118</v>
      </c>
      <c r="C44" s="21">
        <v>0.08</v>
      </c>
      <c r="D44" s="15" t="s">
        <v>119</v>
      </c>
      <c r="E44" s="19" t="s">
        <v>58</v>
      </c>
    </row>
    <row r="45" spans="2:5" x14ac:dyDescent="0.3">
      <c r="B45" s="17" t="s">
        <v>120</v>
      </c>
      <c r="C45" s="21">
        <v>0.05</v>
      </c>
      <c r="D45" s="15" t="s">
        <v>121</v>
      </c>
      <c r="E45" s="19" t="s">
        <v>58</v>
      </c>
    </row>
    <row r="46" spans="2:5" x14ac:dyDescent="0.3">
      <c r="B46" s="17" t="s">
        <v>122</v>
      </c>
      <c r="C46" s="21">
        <v>0.03</v>
      </c>
      <c r="D46" s="15" t="s">
        <v>123</v>
      </c>
      <c r="E46" s="19" t="s">
        <v>58</v>
      </c>
    </row>
    <row r="48" spans="2:5" x14ac:dyDescent="0.3">
      <c r="B48" s="4" t="s">
        <v>124</v>
      </c>
      <c r="C48" s="4"/>
      <c r="D48" s="4"/>
      <c r="E48" s="4"/>
    </row>
    <row r="49" spans="2:5" x14ac:dyDescent="0.3">
      <c r="B49" s="17" t="s">
        <v>125</v>
      </c>
      <c r="C49" s="18">
        <v>5</v>
      </c>
      <c r="D49" s="15" t="s">
        <v>126</v>
      </c>
      <c r="E49" s="19" t="s">
        <v>58</v>
      </c>
    </row>
    <row r="50" spans="2:5" x14ac:dyDescent="0.3">
      <c r="B50" s="17" t="s">
        <v>127</v>
      </c>
      <c r="C50" s="18">
        <v>20</v>
      </c>
      <c r="D50" s="15" t="s">
        <v>128</v>
      </c>
      <c r="E50" s="19" t="s">
        <v>58</v>
      </c>
    </row>
    <row r="51" spans="2:5" x14ac:dyDescent="0.3">
      <c r="B51" s="17" t="s">
        <v>129</v>
      </c>
      <c r="C51" s="18">
        <v>14</v>
      </c>
      <c r="D51" s="15" t="s">
        <v>130</v>
      </c>
      <c r="E51" s="19" t="s">
        <v>58</v>
      </c>
    </row>
    <row r="52" spans="2:5" x14ac:dyDescent="0.3">
      <c r="B52" s="17" t="s">
        <v>131</v>
      </c>
      <c r="C52" s="18">
        <v>10</v>
      </c>
      <c r="D52" s="15" t="s">
        <v>132</v>
      </c>
      <c r="E52" s="19" t="s">
        <v>58</v>
      </c>
    </row>
    <row r="53" spans="2:5" x14ac:dyDescent="0.3">
      <c r="B53" s="17" t="s">
        <v>133</v>
      </c>
      <c r="C53" s="18">
        <v>16</v>
      </c>
      <c r="D53" s="15" t="s">
        <v>134</v>
      </c>
      <c r="E53" s="19" t="s">
        <v>58</v>
      </c>
    </row>
    <row r="54" spans="2:5" x14ac:dyDescent="0.3">
      <c r="B54" s="17" t="s">
        <v>135</v>
      </c>
      <c r="C54" s="18">
        <v>4</v>
      </c>
      <c r="D54" s="15" t="s">
        <v>136</v>
      </c>
      <c r="E54" s="19" t="s">
        <v>58</v>
      </c>
    </row>
    <row r="56" spans="2:5" x14ac:dyDescent="0.3">
      <c r="B56" s="4" t="s">
        <v>137</v>
      </c>
      <c r="C56" s="4"/>
      <c r="D56" s="4"/>
      <c r="E56" s="4"/>
    </row>
    <row r="57" spans="2:5" x14ac:dyDescent="0.3">
      <c r="B57" s="17" t="s">
        <v>138</v>
      </c>
      <c r="C57" s="21">
        <v>0.25</v>
      </c>
      <c r="D57" s="15"/>
      <c r="E57" s="19" t="s">
        <v>58</v>
      </c>
    </row>
    <row r="58" spans="2:5" x14ac:dyDescent="0.3">
      <c r="B58" s="17" t="s">
        <v>139</v>
      </c>
      <c r="C58" s="21">
        <v>0.2</v>
      </c>
      <c r="D58" s="15"/>
      <c r="E58" s="19" t="s">
        <v>58</v>
      </c>
    </row>
    <row r="59" spans="2:5" x14ac:dyDescent="0.3">
      <c r="B59" s="17" t="s">
        <v>140</v>
      </c>
      <c r="C59" s="21">
        <v>0.2</v>
      </c>
      <c r="D59" s="15"/>
      <c r="E59" s="19" t="s">
        <v>58</v>
      </c>
    </row>
    <row r="60" spans="2:5" x14ac:dyDescent="0.3">
      <c r="B60" s="17" t="s">
        <v>141</v>
      </c>
      <c r="C60" s="21">
        <v>0.15</v>
      </c>
      <c r="D60" s="15"/>
      <c r="E60" s="19" t="s">
        <v>58</v>
      </c>
    </row>
    <row r="61" spans="2:5" x14ac:dyDescent="0.3">
      <c r="B61" s="17" t="s">
        <v>142</v>
      </c>
      <c r="C61" s="21">
        <v>0.1</v>
      </c>
      <c r="D61" s="15"/>
      <c r="E61" s="19" t="s">
        <v>58</v>
      </c>
    </row>
    <row r="62" spans="2:5" x14ac:dyDescent="0.3">
      <c r="B62" s="17" t="s">
        <v>143</v>
      </c>
      <c r="C62" s="21">
        <v>0.1</v>
      </c>
      <c r="D62" s="15"/>
      <c r="E62" s="19" t="s">
        <v>58</v>
      </c>
    </row>
    <row r="63" spans="2:5" x14ac:dyDescent="0.3">
      <c r="B63" s="22" t="s">
        <v>144</v>
      </c>
      <c r="C63" s="23">
        <f>SUM(C57:C62)</f>
        <v>1</v>
      </c>
      <c r="D63" s="16"/>
      <c r="E63" s="16"/>
    </row>
    <row r="65" spans="2:5" x14ac:dyDescent="0.3">
      <c r="B65" s="4" t="s">
        <v>145</v>
      </c>
      <c r="C65" s="4"/>
      <c r="D65" s="4"/>
      <c r="E65" s="4"/>
    </row>
    <row r="66" spans="2:5" x14ac:dyDescent="0.3">
      <c r="B66" s="17" t="s">
        <v>146</v>
      </c>
      <c r="C66" s="26">
        <v>0</v>
      </c>
      <c r="D66" s="15" t="s">
        <v>147</v>
      </c>
      <c r="E66" s="19" t="s">
        <v>58</v>
      </c>
    </row>
    <row r="67" spans="2:5" x14ac:dyDescent="0.3">
      <c r="B67" s="17" t="s">
        <v>148</v>
      </c>
      <c r="C67" s="26">
        <v>5000</v>
      </c>
      <c r="D67" s="15" t="s">
        <v>149</v>
      </c>
      <c r="E67" s="19" t="s">
        <v>58</v>
      </c>
    </row>
    <row r="68" spans="2:5" x14ac:dyDescent="0.3">
      <c r="B68" s="17" t="s">
        <v>150</v>
      </c>
      <c r="C68" s="26">
        <v>250</v>
      </c>
      <c r="D68" s="15" t="s">
        <v>151</v>
      </c>
      <c r="E68" s="19" t="s">
        <v>58</v>
      </c>
    </row>
    <row r="69" spans="2:5" x14ac:dyDescent="0.3">
      <c r="B69" s="17" t="s">
        <v>152</v>
      </c>
      <c r="C69" s="26">
        <v>500</v>
      </c>
      <c r="D69" s="15" t="s">
        <v>153</v>
      </c>
      <c r="E69" s="19" t="s">
        <v>58</v>
      </c>
    </row>
    <row r="70" spans="2:5" x14ac:dyDescent="0.3">
      <c r="B70" s="17" t="s">
        <v>154</v>
      </c>
      <c r="C70" s="26">
        <v>350</v>
      </c>
      <c r="D70" s="15" t="s">
        <v>155</v>
      </c>
      <c r="E70" s="19" t="s">
        <v>58</v>
      </c>
    </row>
    <row r="71" spans="2:5" x14ac:dyDescent="0.3">
      <c r="B71" s="17" t="s">
        <v>156</v>
      </c>
      <c r="C71" s="26">
        <v>500</v>
      </c>
      <c r="D71" s="15" t="s">
        <v>157</v>
      </c>
      <c r="E71" s="19" t="s">
        <v>58</v>
      </c>
    </row>
  </sheetData>
  <mergeCells count="11">
    <mergeCell ref="B65:E65"/>
    <mergeCell ref="B24:E24"/>
    <mergeCell ref="B31:E31"/>
    <mergeCell ref="B39:E39"/>
    <mergeCell ref="B48:E48"/>
    <mergeCell ref="B56:E56"/>
    <mergeCell ref="B2:E2"/>
    <mergeCell ref="B3:E3"/>
    <mergeCell ref="B5:E5"/>
    <mergeCell ref="B11:E11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7"/>
  <sheetViews>
    <sheetView zoomScaleNormal="100" workbookViewId="0">
      <selection activeCell="C8" sqref="C8"/>
    </sheetView>
  </sheetViews>
  <sheetFormatPr defaultColWidth="8.6640625" defaultRowHeight="14.4" x14ac:dyDescent="0.3"/>
  <cols>
    <col min="1" max="1" width="3" customWidth="1"/>
    <col min="2" max="2" width="32" customWidth="1"/>
    <col min="3" max="15" width="11" customWidth="1"/>
  </cols>
  <sheetData>
    <row r="2" spans="2:7" ht="24" customHeight="1" x14ac:dyDescent="0.3">
      <c r="B2" s="6" t="s">
        <v>158</v>
      </c>
      <c r="C2" s="6"/>
      <c r="D2" s="6"/>
      <c r="E2" s="6"/>
      <c r="F2" s="6"/>
      <c r="G2" s="6"/>
    </row>
    <row r="4" spans="2:7" x14ac:dyDescent="0.3">
      <c r="B4" s="4" t="s">
        <v>159</v>
      </c>
      <c r="C4" s="4"/>
      <c r="D4" s="4"/>
      <c r="E4" s="4"/>
      <c r="F4" s="4"/>
      <c r="G4" s="4"/>
    </row>
    <row r="5" spans="2:7" x14ac:dyDescent="0.3">
      <c r="B5" s="27" t="s">
        <v>160</v>
      </c>
      <c r="C5" s="27" t="s">
        <v>161</v>
      </c>
      <c r="D5" s="27" t="s">
        <v>162</v>
      </c>
      <c r="E5" s="27" t="s">
        <v>163</v>
      </c>
      <c r="F5" s="27" t="s">
        <v>164</v>
      </c>
    </row>
    <row r="6" spans="2:7" x14ac:dyDescent="0.3">
      <c r="B6" s="16" t="s">
        <v>165</v>
      </c>
      <c r="C6" s="28">
        <f>Assumptions!C6</f>
        <v>9.99</v>
      </c>
      <c r="D6" s="28">
        <f>Assumptions!C7</f>
        <v>19.989999999999998</v>
      </c>
      <c r="E6" s="28">
        <f>Assumptions!C8</f>
        <v>39.99</v>
      </c>
      <c r="F6" s="29">
        <f>C6*Assumptions!C12+D6*Assumptions!C13+E6*Assumptions!C14</f>
        <v>18.489999999999998</v>
      </c>
    </row>
    <row r="7" spans="2:7" x14ac:dyDescent="0.3">
      <c r="B7" s="16" t="s">
        <v>166</v>
      </c>
      <c r="C7" s="30">
        <f>Assumptions!C12</f>
        <v>0.45</v>
      </c>
      <c r="D7" s="30">
        <f>Assumptions!C13</f>
        <v>0.4</v>
      </c>
      <c r="E7" s="30">
        <f>Assumptions!C14</f>
        <v>0.15</v>
      </c>
      <c r="F7" s="31">
        <f>C7+D7+E7</f>
        <v>1</v>
      </c>
    </row>
    <row r="8" spans="2:7" x14ac:dyDescent="0.3">
      <c r="B8" s="16" t="s">
        <v>167</v>
      </c>
      <c r="C8" s="30">
        <f>Assumptions!C44</f>
        <v>0.08</v>
      </c>
      <c r="D8" s="30">
        <f>Assumptions!C45</f>
        <v>0.05</v>
      </c>
      <c r="E8" s="30">
        <f>Assumptions!C46</f>
        <v>0.03</v>
      </c>
      <c r="F8" s="31">
        <f>C8*C7+D8*D7+E8*E7</f>
        <v>6.0500000000000005E-2</v>
      </c>
    </row>
    <row r="9" spans="2:7" x14ac:dyDescent="0.3">
      <c r="B9" s="16" t="s">
        <v>168</v>
      </c>
      <c r="C9" s="32">
        <f>1/C8</f>
        <v>12.5</v>
      </c>
      <c r="D9" s="32">
        <f>1/D8</f>
        <v>20</v>
      </c>
      <c r="E9" s="32">
        <f>1/E8</f>
        <v>33.333333333333336</v>
      </c>
      <c r="F9" s="32">
        <f>1/F8</f>
        <v>16.528925619834709</v>
      </c>
    </row>
    <row r="10" spans="2:7" x14ac:dyDescent="0.3">
      <c r="B10" s="16" t="s">
        <v>169</v>
      </c>
      <c r="C10" s="33">
        <f>C6*C9</f>
        <v>124.875</v>
      </c>
      <c r="D10" s="33">
        <f>D6*D9</f>
        <v>399.79999999999995</v>
      </c>
      <c r="E10" s="33">
        <f>E6*E9</f>
        <v>1333.0000000000002</v>
      </c>
      <c r="F10" s="33">
        <f>F6*F9</f>
        <v>305.61983471074376</v>
      </c>
    </row>
    <row r="12" spans="2:7" x14ac:dyDescent="0.3">
      <c r="B12" s="3" t="s">
        <v>170</v>
      </c>
      <c r="C12" s="3"/>
      <c r="D12" s="3"/>
      <c r="E12" s="3"/>
      <c r="F12" s="3"/>
      <c r="G12" s="3"/>
    </row>
    <row r="13" spans="2:7" x14ac:dyDescent="0.3">
      <c r="B13" s="13" t="s">
        <v>171</v>
      </c>
      <c r="C13" s="34">
        <f>Assumptions!C49*Assumptions!C57+Assumptions!C50*Assumptions!C58+Assumptions!C51*Assumptions!C59+Assumptions!C52*Assumptions!C60+Assumptions!C53*Assumptions!C61+Assumptions!C54*Assumptions!C62</f>
        <v>11.55</v>
      </c>
    </row>
    <row r="14" spans="2:7" x14ac:dyDescent="0.3">
      <c r="B14" s="17" t="s">
        <v>172</v>
      </c>
      <c r="C14" s="34">
        <f>F6</f>
        <v>18.489999999999998</v>
      </c>
    </row>
    <row r="15" spans="2:7" x14ac:dyDescent="0.3">
      <c r="B15" s="17" t="s">
        <v>173</v>
      </c>
      <c r="C15" s="35">
        <f>C13/C14</f>
        <v>0.62466197944835056</v>
      </c>
    </row>
    <row r="16" spans="2:7" x14ac:dyDescent="0.3">
      <c r="B16" s="17" t="s">
        <v>174</v>
      </c>
      <c r="C16" s="36">
        <f>F10</f>
        <v>305.61983471074376</v>
      </c>
    </row>
    <row r="17" spans="2:3" x14ac:dyDescent="0.3">
      <c r="B17" s="13" t="s">
        <v>175</v>
      </c>
      <c r="C17" s="37">
        <f>C16/C13</f>
        <v>26.460591749847943</v>
      </c>
    </row>
  </sheetData>
  <mergeCells count="3">
    <mergeCell ref="B2:G2"/>
    <mergeCell ref="B4:G4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7"/>
  <sheetViews>
    <sheetView zoomScaleNormal="100" workbookViewId="0">
      <selection activeCell="C23" sqref="C23"/>
    </sheetView>
  </sheetViews>
  <sheetFormatPr defaultColWidth="8.6640625" defaultRowHeight="14.4" x14ac:dyDescent="0.3"/>
  <cols>
    <col min="1" max="1" width="3" customWidth="1"/>
    <col min="2" max="2" width="35" customWidth="1"/>
    <col min="3" max="9" width="14" customWidth="1"/>
  </cols>
  <sheetData>
    <row r="2" spans="2:6" ht="24" customHeight="1" x14ac:dyDescent="0.3">
      <c r="B2" s="6" t="s">
        <v>176</v>
      </c>
      <c r="C2" s="6"/>
      <c r="D2" s="6"/>
      <c r="E2" s="6"/>
      <c r="F2" s="6"/>
    </row>
    <row r="4" spans="2:6" x14ac:dyDescent="0.3">
      <c r="B4" s="3" t="s">
        <v>177</v>
      </c>
      <c r="C4" s="3"/>
      <c r="D4" s="3"/>
      <c r="E4" s="3"/>
      <c r="F4" s="3"/>
    </row>
    <row r="5" spans="2:6" x14ac:dyDescent="0.3">
      <c r="B5" s="17" t="s">
        <v>178</v>
      </c>
      <c r="C5" s="38">
        <f>Assumptions!C32</f>
        <v>30</v>
      </c>
    </row>
    <row r="6" spans="2:6" x14ac:dyDescent="0.3">
      <c r="B6" s="17" t="s">
        <v>179</v>
      </c>
      <c r="C6" s="30">
        <f>Assumptions!C33</f>
        <v>0.45</v>
      </c>
    </row>
    <row r="7" spans="2:6" x14ac:dyDescent="0.3">
      <c r="B7" s="17" t="s">
        <v>180</v>
      </c>
      <c r="C7" s="39">
        <f>C5*C6</f>
        <v>13.5</v>
      </c>
    </row>
    <row r="8" spans="2:6" x14ac:dyDescent="0.3">
      <c r="B8" s="17" t="s">
        <v>181</v>
      </c>
      <c r="C8" s="39">
        <f>C5*(1-C6)</f>
        <v>16.5</v>
      </c>
    </row>
    <row r="9" spans="2:6" x14ac:dyDescent="0.3">
      <c r="B9" s="17" t="s">
        <v>85</v>
      </c>
      <c r="C9" s="28">
        <f>Assumptions!C25</f>
        <v>0</v>
      </c>
    </row>
    <row r="10" spans="2:6" x14ac:dyDescent="0.3">
      <c r="B10" s="17" t="s">
        <v>182</v>
      </c>
      <c r="C10" s="30">
        <f>Assumptions!C26</f>
        <v>0</v>
      </c>
    </row>
    <row r="12" spans="2:6" x14ac:dyDescent="0.3">
      <c r="B12" s="3" t="s">
        <v>183</v>
      </c>
      <c r="C12" s="3"/>
      <c r="D12" s="3"/>
      <c r="E12" s="3"/>
      <c r="F12" s="3"/>
    </row>
    <row r="13" spans="2:6" x14ac:dyDescent="0.3">
      <c r="B13" s="17" t="s">
        <v>184</v>
      </c>
      <c r="C13" s="40">
        <f>C7*Assumptions!C18</f>
        <v>270</v>
      </c>
    </row>
    <row r="14" spans="2:6" x14ac:dyDescent="0.3">
      <c r="B14" s="17" t="s">
        <v>185</v>
      </c>
      <c r="C14" s="40">
        <f>C8*Assumptions!C19</f>
        <v>660</v>
      </c>
    </row>
    <row r="15" spans="2:6" x14ac:dyDescent="0.3">
      <c r="B15" s="17" t="s">
        <v>186</v>
      </c>
      <c r="C15" s="40">
        <f>C5*Assumptions!C20</f>
        <v>75</v>
      </c>
    </row>
    <row r="16" spans="2:6" x14ac:dyDescent="0.3">
      <c r="B16" s="17" t="s">
        <v>187</v>
      </c>
      <c r="C16" s="40">
        <f>C5*C9*C10</f>
        <v>0</v>
      </c>
    </row>
    <row r="17" spans="2:6" x14ac:dyDescent="0.3">
      <c r="B17" s="13" t="s">
        <v>188</v>
      </c>
      <c r="C17" s="33">
        <f>SUM(C13:C16)</f>
        <v>1005</v>
      </c>
    </row>
    <row r="19" spans="2:6" x14ac:dyDescent="0.3">
      <c r="B19" s="3" t="s">
        <v>189</v>
      </c>
      <c r="C19" s="3"/>
      <c r="D19" s="3"/>
      <c r="E19" s="3"/>
      <c r="F19" s="3"/>
    </row>
    <row r="20" spans="2:6" x14ac:dyDescent="0.3">
      <c r="B20" s="17" t="s">
        <v>190</v>
      </c>
      <c r="C20" s="40">
        <f>Assumptions!C35</f>
        <v>150</v>
      </c>
    </row>
    <row r="21" spans="2:6" x14ac:dyDescent="0.3">
      <c r="B21" s="17" t="s">
        <v>191</v>
      </c>
      <c r="C21" s="40">
        <f>Assumptions!C36</f>
        <v>75</v>
      </c>
    </row>
    <row r="22" spans="2:6" x14ac:dyDescent="0.3">
      <c r="B22" s="17" t="s">
        <v>192</v>
      </c>
      <c r="C22" s="40">
        <f>Assumptions!C37*0.5</f>
        <v>125</v>
      </c>
    </row>
    <row r="23" spans="2:6" x14ac:dyDescent="0.3">
      <c r="B23" s="17" t="s">
        <v>193</v>
      </c>
      <c r="C23" s="40">
        <f>C17*0.03</f>
        <v>30.15</v>
      </c>
    </row>
    <row r="24" spans="2:6" x14ac:dyDescent="0.3">
      <c r="B24" s="13" t="s">
        <v>194</v>
      </c>
      <c r="C24" s="41">
        <f>SUM(C20:C23)</f>
        <v>380.15</v>
      </c>
    </row>
    <row r="26" spans="2:6" x14ac:dyDescent="0.3">
      <c r="B26" s="22" t="s">
        <v>195</v>
      </c>
      <c r="C26" s="33">
        <f>C17-C24</f>
        <v>624.85</v>
      </c>
    </row>
    <row r="27" spans="2:6" x14ac:dyDescent="0.3">
      <c r="B27" s="22" t="s">
        <v>196</v>
      </c>
      <c r="C27" s="42">
        <f>C26/C17</f>
        <v>0.62174129353233831</v>
      </c>
    </row>
  </sheetData>
  <mergeCells count="4">
    <mergeCell ref="B2:F2"/>
    <mergeCell ref="B4:F4"/>
    <mergeCell ref="B12:F12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B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defaultColWidth="8.6640625" defaultRowHeight="14.4" x14ac:dyDescent="0.3"/>
  <cols>
    <col min="1" max="1" width="3" customWidth="1"/>
    <col min="2" max="2" width="35" customWidth="1"/>
    <col min="3" max="26" width="11" customWidth="1"/>
    <col min="27" max="28" width="14" customWidth="1"/>
  </cols>
  <sheetData>
    <row r="2" spans="2:28" ht="24" customHeight="1" x14ac:dyDescent="0.3">
      <c r="B2" s="6" t="s">
        <v>197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 spans="2:28" x14ac:dyDescent="0.3">
      <c r="B4" s="27" t="s">
        <v>160</v>
      </c>
      <c r="C4" s="27" t="s">
        <v>198</v>
      </c>
      <c r="D4" s="27" t="s">
        <v>199</v>
      </c>
      <c r="E4" s="27" t="s">
        <v>200</v>
      </c>
      <c r="F4" s="27" t="s">
        <v>201</v>
      </c>
      <c r="G4" s="27" t="s">
        <v>202</v>
      </c>
      <c r="H4" s="27" t="s">
        <v>203</v>
      </c>
      <c r="I4" s="27" t="s">
        <v>204</v>
      </c>
      <c r="J4" s="27" t="s">
        <v>205</v>
      </c>
      <c r="K4" s="27" t="s">
        <v>206</v>
      </c>
      <c r="L4" s="27" t="s">
        <v>207</v>
      </c>
      <c r="M4" s="27" t="s">
        <v>208</v>
      </c>
      <c r="N4" s="27" t="s">
        <v>209</v>
      </c>
      <c r="O4" s="27" t="s">
        <v>210</v>
      </c>
      <c r="P4" s="27" t="s">
        <v>211</v>
      </c>
      <c r="Q4" s="27" t="s">
        <v>212</v>
      </c>
      <c r="R4" s="27" t="s">
        <v>213</v>
      </c>
      <c r="S4" s="27" t="s">
        <v>214</v>
      </c>
      <c r="T4" s="27" t="s">
        <v>215</v>
      </c>
      <c r="U4" s="27" t="s">
        <v>216</v>
      </c>
      <c r="V4" s="27" t="s">
        <v>217</v>
      </c>
      <c r="W4" s="27" t="s">
        <v>218</v>
      </c>
      <c r="X4" s="27" t="s">
        <v>219</v>
      </c>
      <c r="Y4" s="27" t="s">
        <v>220</v>
      </c>
      <c r="Z4" s="27" t="s">
        <v>221</v>
      </c>
      <c r="AA4" s="12" t="s">
        <v>222</v>
      </c>
      <c r="AB4" s="12" t="s">
        <v>223</v>
      </c>
    </row>
    <row r="5" spans="2:28" x14ac:dyDescent="0.3">
      <c r="B5" s="4" t="s">
        <v>224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x14ac:dyDescent="0.3">
      <c r="B6" s="13" t="s">
        <v>225</v>
      </c>
      <c r="C6" s="39">
        <f>Assumptions!C40</f>
        <v>200</v>
      </c>
      <c r="D6" s="39">
        <f>C6*(1+Assumptions!$C$41*(1-2/40))</f>
        <v>247.5</v>
      </c>
      <c r="E6" s="39">
        <f>D6*(1+Assumptions!$C$41*(1-3/40))</f>
        <v>304.734375</v>
      </c>
      <c r="F6" s="39">
        <f>E6*(1+Assumptions!$C$41*(1-4/40))</f>
        <v>373.29960937500005</v>
      </c>
      <c r="G6" s="39">
        <f>F6*(1+Assumptions!$C$41*(1-5/40))</f>
        <v>454.95889892578128</v>
      </c>
      <c r="H6" s="39">
        <f>G6*(1+Assumptions!$C$41*(1-6/40))</f>
        <v>551.63766494750973</v>
      </c>
      <c r="I6" s="39">
        <f>H6*(1+Assumptions!$C$41*(1-7/40))</f>
        <v>665.41293334293368</v>
      </c>
      <c r="J6" s="39">
        <f>I6*(1+Assumptions!$C$41*(1-8/40))</f>
        <v>798.4955200115204</v>
      </c>
      <c r="K6" s="39">
        <f>J6*(1+Assumptions!$C$41*(1-9/40))</f>
        <v>953.20402701375258</v>
      </c>
      <c r="L6" s="39">
        <f>K6*(1+Assumptions!$C$41*(1-10/40))</f>
        <v>1131.9297820788313</v>
      </c>
      <c r="M6" s="39">
        <f>L6*(1+Assumptions!$C$41*(1-11/40))</f>
        <v>1337.0920550806193</v>
      </c>
      <c r="N6" s="39">
        <f>M6*(1+Assumptions!$C$41*(1-12/40))</f>
        <v>1571.0831647197276</v>
      </c>
      <c r="O6" s="39">
        <f>N6*(1+Assumptions!$C$41*(1-13/40))</f>
        <v>1836.2034487661815</v>
      </c>
      <c r="P6" s="39">
        <f>O6*(1+Assumptions!$C$41*(1-14/40))</f>
        <v>2134.5865091906862</v>
      </c>
      <c r="Q6" s="39">
        <f>P6*(1+Assumptions!$C$41*(1-15/40))</f>
        <v>2468.1156512517309</v>
      </c>
      <c r="R6" s="39">
        <f>Q6*(1+Assumptions!$C$41*(1-16/40))</f>
        <v>2838.3329989394902</v>
      </c>
      <c r="S6" s="39">
        <f>R6*(1+Assumptions!$C$41*(1-17/40))</f>
        <v>3246.343367537042</v>
      </c>
      <c r="T6" s="39">
        <f>S6*(1+Assumptions!$C$41*(1-18/40))</f>
        <v>3692.7155805733851</v>
      </c>
      <c r="U6" s="39">
        <f>T6*(1+Assumptions!$C$41*(1-19/40))</f>
        <v>4177.3845005236426</v>
      </c>
      <c r="V6" s="39">
        <f>U6*(1+Assumptions!$C$41*(1-20/40))</f>
        <v>4699.557563089098</v>
      </c>
      <c r="W6" s="39">
        <f>V6*(1+Assumptions!$C$41*(1-21/40))</f>
        <v>5257.6300237059277</v>
      </c>
      <c r="X6" s="39">
        <f>W6*(1+Assumptions!$C$41*(1-22/40))</f>
        <v>5849.1134013728451</v>
      </c>
      <c r="Y6" s="39">
        <f>X6*(1+Assumptions!$C$41*(1-23/40))</f>
        <v>6470.5817002687099</v>
      </c>
      <c r="Z6" s="39">
        <f>Y6*(1+Assumptions!$C$41*(1-24/40))</f>
        <v>7117.6398702955812</v>
      </c>
      <c r="AA6" s="39">
        <f>N6</f>
        <v>1571.0831647197276</v>
      </c>
      <c r="AB6" s="39">
        <f>Z6</f>
        <v>7117.6398702955812</v>
      </c>
    </row>
    <row r="7" spans="2:28" x14ac:dyDescent="0.3">
      <c r="B7" s="13" t="s">
        <v>226</v>
      </c>
      <c r="C7" s="43">
        <f>C6*Assumptions!$C$42</f>
        <v>36</v>
      </c>
      <c r="D7" s="43">
        <f>D6*Assumptions!$C$42</f>
        <v>44.55</v>
      </c>
      <c r="E7" s="43">
        <f>E6*Assumptions!$C$42</f>
        <v>54.852187499999999</v>
      </c>
      <c r="F7" s="43">
        <f>F6*Assumptions!$C$42</f>
        <v>67.193929687500003</v>
      </c>
      <c r="G7" s="43">
        <f>G6*Assumptions!$C$42</f>
        <v>81.892601806640627</v>
      </c>
      <c r="H7" s="43">
        <f>H6*Assumptions!$C$42</f>
        <v>99.294779690551749</v>
      </c>
      <c r="I7" s="43">
        <f>I6*Assumptions!$C$42</f>
        <v>119.77432800172807</v>
      </c>
      <c r="J7" s="43">
        <f>J6*Assumptions!$C$42</f>
        <v>143.72919360207368</v>
      </c>
      <c r="K7" s="43">
        <f>K6*Assumptions!$C$42</f>
        <v>171.57672486247546</v>
      </c>
      <c r="L7" s="43">
        <f>L6*Assumptions!$C$42</f>
        <v>203.74736077418962</v>
      </c>
      <c r="M7" s="43">
        <f>M6*Assumptions!$C$42</f>
        <v>240.67656991451145</v>
      </c>
      <c r="N7" s="43">
        <f>N6*Assumptions!$C$42</f>
        <v>282.79496964955098</v>
      </c>
      <c r="O7" s="43">
        <f>O6*Assumptions!$C$42</f>
        <v>330.51662077791264</v>
      </c>
      <c r="P7" s="43">
        <f>P6*Assumptions!$C$42</f>
        <v>384.22557165432352</v>
      </c>
      <c r="Q7" s="43">
        <f>Q6*Assumptions!$C$42</f>
        <v>444.26081722531154</v>
      </c>
      <c r="R7" s="43">
        <f>R6*Assumptions!$C$42</f>
        <v>510.89993980910822</v>
      </c>
      <c r="S7" s="43">
        <f>S6*Assumptions!$C$42</f>
        <v>584.34180615666753</v>
      </c>
      <c r="T7" s="43">
        <f>T6*Assumptions!$C$42</f>
        <v>664.68880450320933</v>
      </c>
      <c r="U7" s="43">
        <f>U6*Assumptions!$C$42</f>
        <v>751.92921009425561</v>
      </c>
      <c r="V7" s="43">
        <f>V6*Assumptions!$C$42</f>
        <v>845.92036135603757</v>
      </c>
      <c r="W7" s="43">
        <f>W6*Assumptions!$C$42</f>
        <v>946.37340426706692</v>
      </c>
      <c r="X7" s="43">
        <f>X6*Assumptions!$C$42</f>
        <v>1052.840412247112</v>
      </c>
      <c r="Y7" s="43">
        <f>Y6*Assumptions!$C$42</f>
        <v>1164.7047060483678</v>
      </c>
      <c r="Z7" s="43">
        <f>Z6*Assumptions!$C$42</f>
        <v>1281.1751766532045</v>
      </c>
      <c r="AA7" s="39">
        <f>N7</f>
        <v>282.79496964955098</v>
      </c>
      <c r="AB7" s="39">
        <f>Z7</f>
        <v>1281.1751766532045</v>
      </c>
    </row>
    <row r="8" spans="2:28" x14ac:dyDescent="0.3">
      <c r="B8" s="44" t="s">
        <v>227</v>
      </c>
      <c r="C8" s="45">
        <f>C7*Assumptions!$C$12</f>
        <v>16.2</v>
      </c>
      <c r="D8" s="45">
        <f>D7*Assumptions!$C$12</f>
        <v>20.047499999999999</v>
      </c>
      <c r="E8" s="45">
        <f>E7*Assumptions!$C$12</f>
        <v>24.683484374999999</v>
      </c>
      <c r="F8" s="45">
        <f>F7*Assumptions!$C$12</f>
        <v>30.237268359375001</v>
      </c>
      <c r="G8" s="45">
        <f>G7*Assumptions!$C$12</f>
        <v>36.851670812988282</v>
      </c>
      <c r="H8" s="45">
        <f>H7*Assumptions!$C$12</f>
        <v>44.682650860748289</v>
      </c>
      <c r="I8" s="45">
        <f>I7*Assumptions!$C$12</f>
        <v>53.898447600777629</v>
      </c>
      <c r="J8" s="45">
        <f>J7*Assumptions!$C$12</f>
        <v>64.678137120933158</v>
      </c>
      <c r="K8" s="45">
        <f>K7*Assumptions!$C$12</f>
        <v>77.209526188113955</v>
      </c>
      <c r="L8" s="45">
        <f>L7*Assumptions!$C$12</f>
        <v>91.686312348385329</v>
      </c>
      <c r="M8" s="45">
        <f>M7*Assumptions!$C$12</f>
        <v>108.30445646153015</v>
      </c>
      <c r="N8" s="45">
        <f>N7*Assumptions!$C$12</f>
        <v>127.25773634229795</v>
      </c>
      <c r="O8" s="45">
        <f>O7*Assumptions!$C$12</f>
        <v>148.73247935006069</v>
      </c>
      <c r="P8" s="45">
        <f>P7*Assumptions!$C$12</f>
        <v>172.90150724444558</v>
      </c>
      <c r="Q8" s="45">
        <f>Q7*Assumptions!$C$12</f>
        <v>199.9173677513902</v>
      </c>
      <c r="R8" s="45">
        <f>R7*Assumptions!$C$12</f>
        <v>229.90497291409869</v>
      </c>
      <c r="S8" s="45">
        <f>S7*Assumptions!$C$12</f>
        <v>262.95381277050041</v>
      </c>
      <c r="T8" s="45">
        <f>T7*Assumptions!$C$12</f>
        <v>299.10996202644418</v>
      </c>
      <c r="U8" s="45">
        <f>U7*Assumptions!$C$12</f>
        <v>338.36814454241505</v>
      </c>
      <c r="V8" s="45">
        <f>V7*Assumptions!$C$12</f>
        <v>380.66416261021692</v>
      </c>
      <c r="W8" s="45">
        <f>W7*Assumptions!$C$12</f>
        <v>425.8680319201801</v>
      </c>
      <c r="X8" s="45">
        <f>X7*Assumptions!$C$12</f>
        <v>473.77818551120043</v>
      </c>
      <c r="Y8" s="45">
        <f>Y7*Assumptions!$C$12</f>
        <v>524.11711772176557</v>
      </c>
      <c r="Z8" s="45">
        <f>Z7*Assumptions!$C$12</f>
        <v>576.528829493942</v>
      </c>
      <c r="AA8" s="39"/>
      <c r="AB8" s="39"/>
    </row>
    <row r="9" spans="2:28" x14ac:dyDescent="0.3">
      <c r="B9" s="44" t="s">
        <v>228</v>
      </c>
      <c r="C9" s="45">
        <f>C7*Assumptions!$C$13</f>
        <v>14.4</v>
      </c>
      <c r="D9" s="45">
        <f>D7*Assumptions!$C$13</f>
        <v>17.82</v>
      </c>
      <c r="E9" s="45">
        <f>E7*Assumptions!$C$13</f>
        <v>21.940875000000002</v>
      </c>
      <c r="F9" s="45">
        <f>F7*Assumptions!$C$13</f>
        <v>26.877571875000001</v>
      </c>
      <c r="G9" s="45">
        <f>G7*Assumptions!$C$13</f>
        <v>32.757040722656249</v>
      </c>
      <c r="H9" s="45">
        <f>H7*Assumptions!$C$13</f>
        <v>39.717911876220704</v>
      </c>
      <c r="I9" s="45">
        <f>I7*Assumptions!$C$13</f>
        <v>47.909731200691226</v>
      </c>
      <c r="J9" s="45">
        <f>J7*Assumptions!$C$13</f>
        <v>57.491677440829477</v>
      </c>
      <c r="K9" s="45">
        <f>K7*Assumptions!$C$13</f>
        <v>68.630689944990181</v>
      </c>
      <c r="L9" s="45">
        <f>L7*Assumptions!$C$13</f>
        <v>81.498944309675849</v>
      </c>
      <c r="M9" s="45">
        <f>M7*Assumptions!$C$13</f>
        <v>96.270627965804579</v>
      </c>
      <c r="N9" s="45">
        <f>N7*Assumptions!$C$13</f>
        <v>113.1179878598204</v>
      </c>
      <c r="O9" s="45">
        <f>O7*Assumptions!$C$13</f>
        <v>132.20664831116505</v>
      </c>
      <c r="P9" s="45">
        <f>P7*Assumptions!$C$13</f>
        <v>153.69022866172941</v>
      </c>
      <c r="Q9" s="45">
        <f>Q7*Assumptions!$C$13</f>
        <v>177.70432689012463</v>
      </c>
      <c r="R9" s="45">
        <f>R7*Assumptions!$C$13</f>
        <v>204.3599759236433</v>
      </c>
      <c r="S9" s="45">
        <f>S7*Assumptions!$C$13</f>
        <v>233.73672246266702</v>
      </c>
      <c r="T9" s="45">
        <f>T7*Assumptions!$C$13</f>
        <v>265.87552180128375</v>
      </c>
      <c r="U9" s="45">
        <f>U7*Assumptions!$C$13</f>
        <v>300.77168403770224</v>
      </c>
      <c r="V9" s="45">
        <f>V7*Assumptions!$C$13</f>
        <v>338.36814454241505</v>
      </c>
      <c r="W9" s="45">
        <f>W7*Assumptions!$C$13</f>
        <v>378.5493617068268</v>
      </c>
      <c r="X9" s="45">
        <f>X7*Assumptions!$C$13</f>
        <v>421.13616489884481</v>
      </c>
      <c r="Y9" s="45">
        <f>Y7*Assumptions!$C$13</f>
        <v>465.88188241934716</v>
      </c>
      <c r="Z9" s="45">
        <f>Z7*Assumptions!$C$13</f>
        <v>512.47007066128185</v>
      </c>
      <c r="AA9" s="39"/>
      <c r="AB9" s="39"/>
    </row>
    <row r="10" spans="2:28" x14ac:dyDescent="0.3">
      <c r="B10" s="44" t="s">
        <v>229</v>
      </c>
      <c r="C10" s="45">
        <f>C7*Assumptions!$C$14</f>
        <v>5.3999999999999995</v>
      </c>
      <c r="D10" s="45">
        <f>D7*Assumptions!$C$14</f>
        <v>6.6824999999999992</v>
      </c>
      <c r="E10" s="45">
        <f>E7*Assumptions!$C$14</f>
        <v>8.2278281250000003</v>
      </c>
      <c r="F10" s="45">
        <f>F7*Assumptions!$C$14</f>
        <v>10.079089453125</v>
      </c>
      <c r="G10" s="45">
        <f>G7*Assumptions!$C$14</f>
        <v>12.283890270996094</v>
      </c>
      <c r="H10" s="45">
        <f>H7*Assumptions!$C$14</f>
        <v>14.894216953582761</v>
      </c>
      <c r="I10" s="45">
        <f>I7*Assumptions!$C$14</f>
        <v>17.96614920025921</v>
      </c>
      <c r="J10" s="45">
        <f>J7*Assumptions!$C$14</f>
        <v>21.55937904031105</v>
      </c>
      <c r="K10" s="45">
        <f>K7*Assumptions!$C$14</f>
        <v>25.73650872937132</v>
      </c>
      <c r="L10" s="45">
        <f>L7*Assumptions!$C$14</f>
        <v>30.562104116128442</v>
      </c>
      <c r="M10" s="45">
        <f>M7*Assumptions!$C$14</f>
        <v>36.101485487176717</v>
      </c>
      <c r="N10" s="45">
        <f>N7*Assumptions!$C$14</f>
        <v>42.419245447432644</v>
      </c>
      <c r="O10" s="45">
        <f>O7*Assumptions!$C$14</f>
        <v>49.577493116686895</v>
      </c>
      <c r="P10" s="45">
        <f>P7*Assumptions!$C$14</f>
        <v>57.633835748148528</v>
      </c>
      <c r="Q10" s="45">
        <f>Q7*Assumptions!$C$14</f>
        <v>66.639122583796734</v>
      </c>
      <c r="R10" s="45">
        <f>R7*Assumptions!$C$14</f>
        <v>76.634990971366236</v>
      </c>
      <c r="S10" s="45">
        <f>S7*Assumptions!$C$14</f>
        <v>87.651270923500121</v>
      </c>
      <c r="T10" s="45">
        <f>T7*Assumptions!$C$14</f>
        <v>99.703320675481393</v>
      </c>
      <c r="U10" s="45">
        <f>U7*Assumptions!$C$14</f>
        <v>112.78938151413834</v>
      </c>
      <c r="V10" s="45">
        <f>V7*Assumptions!$C$14</f>
        <v>126.88805420340563</v>
      </c>
      <c r="W10" s="45">
        <f>W7*Assumptions!$C$14</f>
        <v>141.95601064006004</v>
      </c>
      <c r="X10" s="45">
        <f>X7*Assumptions!$C$14</f>
        <v>157.92606183706678</v>
      </c>
      <c r="Y10" s="45">
        <f>Y7*Assumptions!$C$14</f>
        <v>174.70570590725518</v>
      </c>
      <c r="Z10" s="45">
        <f>Z7*Assumptions!$C$14</f>
        <v>192.17627649798067</v>
      </c>
      <c r="AA10" s="39"/>
      <c r="AB10" s="39"/>
    </row>
    <row r="11" spans="2:28" x14ac:dyDescent="0.3">
      <c r="B11" s="13" t="s">
        <v>230</v>
      </c>
      <c r="C11" s="39">
        <v>5</v>
      </c>
      <c r="D11" s="39">
        <v>6</v>
      </c>
      <c r="E11" s="39">
        <v>7</v>
      </c>
      <c r="F11" s="39">
        <v>8</v>
      </c>
      <c r="G11" s="39">
        <v>10</v>
      </c>
      <c r="H11" s="39">
        <v>12</v>
      </c>
      <c r="I11" s="39">
        <f>Assumptions!$C$34</f>
        <v>12</v>
      </c>
      <c r="J11" s="39">
        <f>Assumptions!$C$34</f>
        <v>12</v>
      </c>
      <c r="K11" s="39">
        <f>Assumptions!$C$34</f>
        <v>12</v>
      </c>
      <c r="L11" s="39">
        <f>Assumptions!$C$34</f>
        <v>12</v>
      </c>
      <c r="M11" s="39">
        <f>Assumptions!$C$34</f>
        <v>12</v>
      </c>
      <c r="N11" s="39">
        <f>Assumptions!$C$34</f>
        <v>12</v>
      </c>
      <c r="O11" s="39">
        <f>Assumptions!$C$34*(1+0.05*(13-12))</f>
        <v>12.600000000000001</v>
      </c>
      <c r="P11" s="39">
        <f>Assumptions!$C$34*(1+0.05*(14-12))</f>
        <v>13.200000000000001</v>
      </c>
      <c r="Q11" s="39">
        <f>Assumptions!$C$34*(1+0.05*(15-12))</f>
        <v>13.799999999999999</v>
      </c>
      <c r="R11" s="39">
        <f>Assumptions!$C$34*(1+0.05*(16-12))</f>
        <v>14.399999999999999</v>
      </c>
      <c r="S11" s="39">
        <f>Assumptions!$C$34*(1+0.05*(17-12))</f>
        <v>15</v>
      </c>
      <c r="T11" s="39">
        <f>Assumptions!$C$34*(1+0.05*(18-12))</f>
        <v>15.600000000000001</v>
      </c>
      <c r="U11" s="39">
        <f>Assumptions!$C$34*(1+0.05*(19-12))</f>
        <v>16.200000000000003</v>
      </c>
      <c r="V11" s="39">
        <f>Assumptions!$C$34*(1+0.05*(20-12))</f>
        <v>16.799999999999997</v>
      </c>
      <c r="W11" s="39">
        <f>Assumptions!$C$34*(1+0.05*(21-12))</f>
        <v>17.399999999999999</v>
      </c>
      <c r="X11" s="39">
        <f>Assumptions!$C$34*(1+0.05*(22-12))</f>
        <v>18</v>
      </c>
      <c r="Y11" s="39">
        <f>Assumptions!$C$34*(1+0.05*(23-12))</f>
        <v>18.600000000000001</v>
      </c>
      <c r="Z11" s="39">
        <f>Assumptions!$C$34*(1+0.05*(24-12))</f>
        <v>19.200000000000003</v>
      </c>
      <c r="AA11" s="39">
        <f>SUM(C11:N11)</f>
        <v>120</v>
      </c>
      <c r="AB11" s="39">
        <f>SUM(O11:Z11)</f>
        <v>190.8</v>
      </c>
    </row>
    <row r="12" spans="2:28" x14ac:dyDescent="0.3">
      <c r="B12" s="17" t="s">
        <v>231</v>
      </c>
      <c r="C12" s="39">
        <f>C11*Assumptions!$C$32</f>
        <v>150</v>
      </c>
      <c r="D12" s="39">
        <f>D11*Assumptions!$C$32</f>
        <v>180</v>
      </c>
      <c r="E12" s="39">
        <f>E11*Assumptions!$C$32</f>
        <v>210</v>
      </c>
      <c r="F12" s="39">
        <f>F11*Assumptions!$C$32</f>
        <v>240</v>
      </c>
      <c r="G12" s="39">
        <f>G11*Assumptions!$C$32</f>
        <v>300</v>
      </c>
      <c r="H12" s="39">
        <f>H11*Assumptions!$C$32</f>
        <v>360</v>
      </c>
      <c r="I12" s="39">
        <f>I11*Assumptions!$C$32</f>
        <v>360</v>
      </c>
      <c r="J12" s="39">
        <f>J11*Assumptions!$C$32</f>
        <v>360</v>
      </c>
      <c r="K12" s="39">
        <f>K11*Assumptions!$C$32</f>
        <v>360</v>
      </c>
      <c r="L12" s="39">
        <f>L11*Assumptions!$C$32</f>
        <v>360</v>
      </c>
      <c r="M12" s="39">
        <f>M11*Assumptions!$C$32</f>
        <v>360</v>
      </c>
      <c r="N12" s="39">
        <f>N11*Assumptions!$C$32</f>
        <v>360</v>
      </c>
      <c r="O12" s="39">
        <f>O11*Assumptions!$C$32</f>
        <v>378.00000000000006</v>
      </c>
      <c r="P12" s="39">
        <f>P11*Assumptions!$C$32</f>
        <v>396.00000000000006</v>
      </c>
      <c r="Q12" s="39">
        <f>Q11*Assumptions!$C$32</f>
        <v>413.99999999999994</v>
      </c>
      <c r="R12" s="39">
        <f>R11*Assumptions!$C$32</f>
        <v>431.99999999999994</v>
      </c>
      <c r="S12" s="39">
        <f>S11*Assumptions!$C$32</f>
        <v>450</v>
      </c>
      <c r="T12" s="39">
        <f>T11*Assumptions!$C$32</f>
        <v>468.00000000000006</v>
      </c>
      <c r="U12" s="39">
        <f>U11*Assumptions!$C$32</f>
        <v>486.00000000000011</v>
      </c>
      <c r="V12" s="39">
        <f>V11*Assumptions!$C$32</f>
        <v>503.99999999999989</v>
      </c>
      <c r="W12" s="39">
        <f>W11*Assumptions!$C$32</f>
        <v>522</v>
      </c>
      <c r="X12" s="39">
        <f>X11*Assumptions!$C$32</f>
        <v>540</v>
      </c>
      <c r="Y12" s="39">
        <f>Y11*Assumptions!$C$32</f>
        <v>558</v>
      </c>
      <c r="Z12" s="39">
        <f>Z11*Assumptions!$C$32</f>
        <v>576.00000000000011</v>
      </c>
      <c r="AA12" s="39">
        <f>SUM(C12:N12)</f>
        <v>3600</v>
      </c>
      <c r="AB12" s="39">
        <f>SUM(O12:Z12)</f>
        <v>5724</v>
      </c>
    </row>
    <row r="14" spans="2:28" x14ac:dyDescent="0.3">
      <c r="B14" s="4" t="s">
        <v>232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2:28" x14ac:dyDescent="0.3">
      <c r="B15" s="17" t="s">
        <v>233</v>
      </c>
      <c r="C15" s="40">
        <f>C8*Assumptions!$C$6+C9*Assumptions!$C$7+C10*Assumptions!$C$8</f>
        <v>665.64</v>
      </c>
      <c r="D15" s="40">
        <f>D8*Assumptions!$C$6+D9*Assumptions!$C$7+D10*Assumptions!$C$8</f>
        <v>823.72949999999992</v>
      </c>
      <c r="E15" s="40">
        <f>E8*Assumptions!$C$6+E9*Assumptions!$C$7+E10*Assumptions!$C$8</f>
        <v>1014.216946875</v>
      </c>
      <c r="F15" s="40">
        <f>F8*Assumptions!$C$6+F9*Assumptions!$C$7+F10*Assumptions!$C$8</f>
        <v>1242.415759921875</v>
      </c>
      <c r="G15" s="40">
        <f>G8*Assumptions!$C$6+G9*Assumptions!$C$7+G10*Assumptions!$C$8</f>
        <v>1514.1942074047852</v>
      </c>
      <c r="H15" s="40">
        <f>H8*Assumptions!$C$6+H9*Assumptions!$C$7+H10*Assumptions!$C$8</f>
        <v>1835.9604764783021</v>
      </c>
      <c r="I15" s="40">
        <f>I8*Assumptions!$C$6+I9*Assumptions!$C$7+I10*Assumptions!$C$8</f>
        <v>2214.6273247519521</v>
      </c>
      <c r="J15" s="40">
        <f>J8*Assumptions!$C$6+J9*Assumptions!$C$7+J10*Assumptions!$C$8</f>
        <v>2657.5527897023421</v>
      </c>
      <c r="K15" s="40">
        <f>K8*Assumptions!$C$6+K9*Assumptions!$C$7+K10*Assumptions!$C$8</f>
        <v>3172.4536427071716</v>
      </c>
      <c r="L15" s="40">
        <f>L8*Assumptions!$C$6+L9*Assumptions!$C$7+L10*Assumptions!$C$8</f>
        <v>3767.2887007147656</v>
      </c>
      <c r="M15" s="40">
        <f>M8*Assumptions!$C$6+M9*Assumptions!$C$7+M10*Assumptions!$C$8</f>
        <v>4450.1097777193163</v>
      </c>
      <c r="N15" s="40">
        <f>N8*Assumptions!$C$6+N9*Assumptions!$C$7+N10*Assumptions!$C$8</f>
        <v>5228.8789888201973</v>
      </c>
      <c r="O15" s="40">
        <f>O8*Assumptions!$C$6+O9*Assumptions!$C$7+O10*Assumptions!$C$8</f>
        <v>6111.2523181836041</v>
      </c>
      <c r="P15" s="40">
        <f>P8*Assumptions!$C$6+P9*Assumptions!$C$7+P10*Assumptions!$C$8</f>
        <v>7104.3308198884415</v>
      </c>
      <c r="Q15" s="40">
        <f>Q8*Assumptions!$C$6+Q9*Assumptions!$C$7+Q10*Assumptions!$C$8</f>
        <v>8214.3825104960106</v>
      </c>
      <c r="R15" s="40">
        <f>R8*Assumptions!$C$6+R9*Assumptions!$C$7+R10*Assumptions!$C$8</f>
        <v>9446.5398870704121</v>
      </c>
      <c r="S15" s="40">
        <f>S8*Assumptions!$C$6+S9*Assumptions!$C$7+S10*Assumptions!$C$8</f>
        <v>10804.479995836782</v>
      </c>
      <c r="T15" s="40">
        <f>T8*Assumptions!$C$6+T9*Assumptions!$C$7+T10*Assumptions!$C$8</f>
        <v>12290.095995264339</v>
      </c>
      <c r="U15" s="40">
        <f>U8*Assumptions!$C$6+U9*Assumptions!$C$7+U10*Assumptions!$C$8</f>
        <v>13903.171094642785</v>
      </c>
      <c r="V15" s="40">
        <f>V8*Assumptions!$C$6+V9*Assumptions!$C$7+V10*Assumptions!$C$8</f>
        <v>15641.067481473136</v>
      </c>
      <c r="W15" s="40">
        <f>W8*Assumptions!$C$6+W9*Assumptions!$C$7+W10*Assumptions!$C$8</f>
        <v>17498.44424489807</v>
      </c>
      <c r="X15" s="40">
        <f>X8*Assumptions!$C$6+X9*Assumptions!$C$7+X10*Assumptions!$C$8</f>
        <v>19467.019222449097</v>
      </c>
      <c r="Y15" s="40">
        <f>Y8*Assumptions!$C$6+Y9*Assumptions!$C$7+Y10*Assumptions!$C$8</f>
        <v>21535.390014834324</v>
      </c>
      <c r="Z15" s="40">
        <f>Z8*Assumptions!$C$6+Z9*Assumptions!$C$7+Z10*Assumptions!$C$8</f>
        <v>23688.92901631775</v>
      </c>
      <c r="AA15" s="40">
        <f>SUM(C15:N15)</f>
        <v>28587.06811509571</v>
      </c>
      <c r="AB15" s="40">
        <f>SUM(O15:Z15)</f>
        <v>165705.10260135477</v>
      </c>
    </row>
    <row r="16" spans="2:28" x14ac:dyDescent="0.3">
      <c r="B16" s="17" t="s">
        <v>234</v>
      </c>
      <c r="C16" s="40">
        <f>C11*(Assumptions!$C$32*Assumptions!$C$33*Assumptions!$C$18+Assumptions!$C$32*(1-Assumptions!$C$33)*Assumptions!$C$19+Assumptions!$C$32*Assumptions!$C$20)</f>
        <v>5025</v>
      </c>
      <c r="D16" s="40">
        <f>D11*(Assumptions!$C$32*Assumptions!$C$33*Assumptions!$C$18+Assumptions!$C$32*(1-Assumptions!$C$33)*Assumptions!$C$19+Assumptions!$C$32*Assumptions!$C$20)</f>
        <v>6030</v>
      </c>
      <c r="E16" s="40">
        <f>E11*(Assumptions!$C$32*Assumptions!$C$33*Assumptions!$C$18+Assumptions!$C$32*(1-Assumptions!$C$33)*Assumptions!$C$19+Assumptions!$C$32*Assumptions!$C$20)</f>
        <v>7035</v>
      </c>
      <c r="F16" s="40">
        <f>F11*(Assumptions!$C$32*Assumptions!$C$33*Assumptions!$C$18+Assumptions!$C$32*(1-Assumptions!$C$33)*Assumptions!$C$19+Assumptions!$C$32*Assumptions!$C$20)</f>
        <v>8040</v>
      </c>
      <c r="G16" s="40">
        <f>G11*(Assumptions!$C$32*Assumptions!$C$33*Assumptions!$C$18+Assumptions!$C$32*(1-Assumptions!$C$33)*Assumptions!$C$19+Assumptions!$C$32*Assumptions!$C$20)</f>
        <v>10050</v>
      </c>
      <c r="H16" s="40">
        <f>H11*(Assumptions!$C$32*Assumptions!$C$33*Assumptions!$C$18+Assumptions!$C$32*(1-Assumptions!$C$33)*Assumptions!$C$19+Assumptions!$C$32*Assumptions!$C$20)</f>
        <v>12060</v>
      </c>
      <c r="I16" s="40">
        <f>I11*(Assumptions!$C$32*Assumptions!$C$33*Assumptions!$C$18+Assumptions!$C$32*(1-Assumptions!$C$33)*Assumptions!$C$19+Assumptions!$C$32*Assumptions!$C$20)</f>
        <v>12060</v>
      </c>
      <c r="J16" s="40">
        <f>J11*(Assumptions!$C$32*Assumptions!$C$33*Assumptions!$C$18+Assumptions!$C$32*(1-Assumptions!$C$33)*Assumptions!$C$19+Assumptions!$C$32*Assumptions!$C$20)</f>
        <v>12060</v>
      </c>
      <c r="K16" s="40">
        <f>K11*(Assumptions!$C$32*Assumptions!$C$33*Assumptions!$C$18+Assumptions!$C$32*(1-Assumptions!$C$33)*Assumptions!$C$19+Assumptions!$C$32*Assumptions!$C$20)</f>
        <v>12060</v>
      </c>
      <c r="L16" s="40">
        <f>L11*(Assumptions!$C$32*Assumptions!$C$33*Assumptions!$C$18+Assumptions!$C$32*(1-Assumptions!$C$33)*Assumptions!$C$19+Assumptions!$C$32*Assumptions!$C$20)</f>
        <v>12060</v>
      </c>
      <c r="M16" s="40">
        <f>M11*(Assumptions!$C$32*Assumptions!$C$33*Assumptions!$C$18+Assumptions!$C$32*(1-Assumptions!$C$33)*Assumptions!$C$19+Assumptions!$C$32*Assumptions!$C$20)</f>
        <v>12060</v>
      </c>
      <c r="N16" s="40">
        <f>N11*(Assumptions!$C$32*Assumptions!$C$33*Assumptions!$C$18+Assumptions!$C$32*(1-Assumptions!$C$33)*Assumptions!$C$19+Assumptions!$C$32*Assumptions!$C$20)</f>
        <v>12060</v>
      </c>
      <c r="O16" s="40">
        <f>O11*(Assumptions!$C$32*Assumptions!$C$33*Assumptions!$C$18+Assumptions!$C$32*(1-Assumptions!$C$33)*Assumptions!$C$19+Assumptions!$C$32*Assumptions!$C$20)</f>
        <v>12663.000000000002</v>
      </c>
      <c r="P16" s="40">
        <f>P11*(Assumptions!$C$32*Assumptions!$C$33*Assumptions!$C$18+Assumptions!$C$32*(1-Assumptions!$C$33)*Assumptions!$C$19+Assumptions!$C$32*Assumptions!$C$20)</f>
        <v>13266.000000000002</v>
      </c>
      <c r="Q16" s="40">
        <f>Q11*(Assumptions!$C$32*Assumptions!$C$33*Assumptions!$C$18+Assumptions!$C$32*(1-Assumptions!$C$33)*Assumptions!$C$19+Assumptions!$C$32*Assumptions!$C$20)</f>
        <v>13868.999999999998</v>
      </c>
      <c r="R16" s="40">
        <f>R11*(Assumptions!$C$32*Assumptions!$C$33*Assumptions!$C$18+Assumptions!$C$32*(1-Assumptions!$C$33)*Assumptions!$C$19+Assumptions!$C$32*Assumptions!$C$20)</f>
        <v>14471.999999999998</v>
      </c>
      <c r="S16" s="40">
        <f>S11*(Assumptions!$C$32*Assumptions!$C$33*Assumptions!$C$18+Assumptions!$C$32*(1-Assumptions!$C$33)*Assumptions!$C$19+Assumptions!$C$32*Assumptions!$C$20)</f>
        <v>15075</v>
      </c>
      <c r="T16" s="40">
        <f>T11*(Assumptions!$C$32*Assumptions!$C$33*Assumptions!$C$18+Assumptions!$C$32*(1-Assumptions!$C$33)*Assumptions!$C$19+Assumptions!$C$32*Assumptions!$C$20)</f>
        <v>15678.000000000002</v>
      </c>
      <c r="U16" s="40">
        <f>U11*(Assumptions!$C$32*Assumptions!$C$33*Assumptions!$C$18+Assumptions!$C$32*(1-Assumptions!$C$33)*Assumptions!$C$19+Assumptions!$C$32*Assumptions!$C$20)</f>
        <v>16281.000000000004</v>
      </c>
      <c r="V16" s="40">
        <f>V11*(Assumptions!$C$32*Assumptions!$C$33*Assumptions!$C$18+Assumptions!$C$32*(1-Assumptions!$C$33)*Assumptions!$C$19+Assumptions!$C$32*Assumptions!$C$20)</f>
        <v>16883.999999999996</v>
      </c>
      <c r="W16" s="40">
        <f>W11*(Assumptions!$C$32*Assumptions!$C$33*Assumptions!$C$18+Assumptions!$C$32*(1-Assumptions!$C$33)*Assumptions!$C$19+Assumptions!$C$32*Assumptions!$C$20)</f>
        <v>17487</v>
      </c>
      <c r="X16" s="40">
        <f>X11*(Assumptions!$C$32*Assumptions!$C$33*Assumptions!$C$18+Assumptions!$C$32*(1-Assumptions!$C$33)*Assumptions!$C$19+Assumptions!$C$32*Assumptions!$C$20)</f>
        <v>18090</v>
      </c>
      <c r="Y16" s="40">
        <f>Y11*(Assumptions!$C$32*Assumptions!$C$33*Assumptions!$C$18+Assumptions!$C$32*(1-Assumptions!$C$33)*Assumptions!$C$19+Assumptions!$C$32*Assumptions!$C$20)</f>
        <v>18693</v>
      </c>
      <c r="Z16" s="40">
        <f>Z11*(Assumptions!$C$32*Assumptions!$C$33*Assumptions!$C$18+Assumptions!$C$32*(1-Assumptions!$C$33)*Assumptions!$C$19+Assumptions!$C$32*Assumptions!$C$20)</f>
        <v>19296.000000000004</v>
      </c>
      <c r="AA16" s="40">
        <f>SUM(C16:N16)</f>
        <v>120600</v>
      </c>
      <c r="AB16" s="40">
        <f>SUM(O16:Z16)</f>
        <v>191754</v>
      </c>
    </row>
    <row r="17" spans="2:28" x14ac:dyDescent="0.3">
      <c r="B17" s="17" t="s">
        <v>187</v>
      </c>
      <c r="C17" s="40">
        <f>C12*Assumptions!$C$25*Assumptions!$C$26</f>
        <v>0</v>
      </c>
      <c r="D17" s="40">
        <f>D12*Assumptions!$C$25*Assumptions!$C$26</f>
        <v>0</v>
      </c>
      <c r="E17" s="40">
        <f>E12*Assumptions!$C$25*Assumptions!$C$26</f>
        <v>0</v>
      </c>
      <c r="F17" s="40">
        <f>F12*Assumptions!$C$25*Assumptions!$C$26</f>
        <v>0</v>
      </c>
      <c r="G17" s="40">
        <f>G12*Assumptions!$C$25*Assumptions!$C$26</f>
        <v>0</v>
      </c>
      <c r="H17" s="40">
        <f>H12*Assumptions!$C$25*Assumptions!$C$26</f>
        <v>0</v>
      </c>
      <c r="I17" s="40">
        <f>I12*Assumptions!$C$25*Assumptions!$C$26</f>
        <v>0</v>
      </c>
      <c r="J17" s="40">
        <f>J12*Assumptions!$C$25*Assumptions!$C$26</f>
        <v>0</v>
      </c>
      <c r="K17" s="40">
        <f>K12*Assumptions!$C$25*Assumptions!$C$26</f>
        <v>0</v>
      </c>
      <c r="L17" s="40">
        <f>L12*Assumptions!$C$25*Assumptions!$C$26</f>
        <v>0</v>
      </c>
      <c r="M17" s="40">
        <f>M12*Assumptions!$C$25*Assumptions!$C$26</f>
        <v>0</v>
      </c>
      <c r="N17" s="40">
        <f>N12*Assumptions!$C$25*Assumptions!$C$26</f>
        <v>0</v>
      </c>
      <c r="O17" s="40">
        <f>O12*Assumptions!$C$25*Assumptions!$C$26</f>
        <v>0</v>
      </c>
      <c r="P17" s="40">
        <f>P12*Assumptions!$C$25*Assumptions!$C$26</f>
        <v>0</v>
      </c>
      <c r="Q17" s="40">
        <f>Q12*Assumptions!$C$25*Assumptions!$C$26</f>
        <v>0</v>
      </c>
      <c r="R17" s="40">
        <f>R12*Assumptions!$C$25*Assumptions!$C$26</f>
        <v>0</v>
      </c>
      <c r="S17" s="40">
        <f>S12*Assumptions!$C$25*Assumptions!$C$26</f>
        <v>0</v>
      </c>
      <c r="T17" s="40">
        <f>T12*Assumptions!$C$25*Assumptions!$C$26</f>
        <v>0</v>
      </c>
      <c r="U17" s="40">
        <f>U12*Assumptions!$C$25*Assumptions!$C$26</f>
        <v>0</v>
      </c>
      <c r="V17" s="40">
        <f>V12*Assumptions!$C$25*Assumptions!$C$26</f>
        <v>0</v>
      </c>
      <c r="W17" s="40">
        <f>W12*Assumptions!$C$25*Assumptions!$C$26</f>
        <v>0</v>
      </c>
      <c r="X17" s="40">
        <f>X12*Assumptions!$C$25*Assumptions!$C$26</f>
        <v>0</v>
      </c>
      <c r="Y17" s="40">
        <f>Y12*Assumptions!$C$25*Assumptions!$C$26</f>
        <v>0</v>
      </c>
      <c r="Z17" s="40">
        <f>Z12*Assumptions!$C$25*Assumptions!$C$26</f>
        <v>0</v>
      </c>
      <c r="AA17" s="40">
        <f>SUM(C17:N17)</f>
        <v>0</v>
      </c>
      <c r="AB17" s="40">
        <f>SUM(O17:Z17)</f>
        <v>0</v>
      </c>
    </row>
    <row r="18" spans="2:28" x14ac:dyDescent="0.3">
      <c r="B18" s="13" t="s">
        <v>235</v>
      </c>
      <c r="C18" s="33">
        <f t="shared" ref="C18:Z18" si="0">SUM(C15:C17)</f>
        <v>5690.64</v>
      </c>
      <c r="D18" s="33">
        <f t="shared" si="0"/>
        <v>6853.7294999999995</v>
      </c>
      <c r="E18" s="33">
        <f t="shared" si="0"/>
        <v>8049.2169468749998</v>
      </c>
      <c r="F18" s="33">
        <f t="shared" si="0"/>
        <v>9282.4157599218743</v>
      </c>
      <c r="G18" s="33">
        <f t="shared" si="0"/>
        <v>11564.194207404786</v>
      </c>
      <c r="H18" s="33">
        <f t="shared" si="0"/>
        <v>13895.960476478302</v>
      </c>
      <c r="I18" s="33">
        <f t="shared" si="0"/>
        <v>14274.627324751953</v>
      </c>
      <c r="J18" s="33">
        <f t="shared" si="0"/>
        <v>14717.552789702342</v>
      </c>
      <c r="K18" s="33">
        <f t="shared" si="0"/>
        <v>15232.453642707173</v>
      </c>
      <c r="L18" s="33">
        <f t="shared" si="0"/>
        <v>15827.288700714766</v>
      </c>
      <c r="M18" s="33">
        <f t="shared" si="0"/>
        <v>16510.109777719317</v>
      </c>
      <c r="N18" s="33">
        <f t="shared" si="0"/>
        <v>17288.878988820197</v>
      </c>
      <c r="O18" s="33">
        <f t="shared" si="0"/>
        <v>18774.252318183608</v>
      </c>
      <c r="P18" s="33">
        <f t="shared" si="0"/>
        <v>20370.330819888444</v>
      </c>
      <c r="Q18" s="33">
        <f t="shared" si="0"/>
        <v>22083.382510496009</v>
      </c>
      <c r="R18" s="33">
        <f t="shared" si="0"/>
        <v>23918.539887070408</v>
      </c>
      <c r="S18" s="33">
        <f t="shared" si="0"/>
        <v>25879.47999583678</v>
      </c>
      <c r="T18" s="33">
        <f t="shared" si="0"/>
        <v>27968.095995264339</v>
      </c>
      <c r="U18" s="33">
        <f t="shared" si="0"/>
        <v>30184.171094642788</v>
      </c>
      <c r="V18" s="33">
        <f t="shared" si="0"/>
        <v>32525.067481473132</v>
      </c>
      <c r="W18" s="33">
        <f t="shared" si="0"/>
        <v>34985.44424489807</v>
      </c>
      <c r="X18" s="33">
        <f t="shared" si="0"/>
        <v>37557.019222449097</v>
      </c>
      <c r="Y18" s="33">
        <f t="shared" si="0"/>
        <v>40228.390014834324</v>
      </c>
      <c r="Z18" s="33">
        <f t="shared" si="0"/>
        <v>42984.92901631775</v>
      </c>
      <c r="AA18" s="33">
        <f>SUM(C18:N18)</f>
        <v>149187.0681150957</v>
      </c>
      <c r="AB18" s="33">
        <f>SUM(O18:Z18)</f>
        <v>357459.10260135477</v>
      </c>
    </row>
    <row r="20" spans="2:28" x14ac:dyDescent="0.3">
      <c r="B20" s="4" t="s">
        <v>236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2:28" x14ac:dyDescent="0.3">
      <c r="B21" s="17" t="s">
        <v>237</v>
      </c>
      <c r="C21" s="40">
        <f>C11*(Assumptions!$C$35+Assumptions!$C$36+Assumptions!$C$37*0.5)+C16*0.03</f>
        <v>1900.75</v>
      </c>
      <c r="D21" s="40">
        <f>D11*(Assumptions!$C$35+Assumptions!$C$36+Assumptions!$C$37*0.5)+D16*0.03</f>
        <v>2280.9</v>
      </c>
      <c r="E21" s="40">
        <f>E11*(Assumptions!$C$35+Assumptions!$C$36+Assumptions!$C$37*0.5)+E16*0.03</f>
        <v>2661.05</v>
      </c>
      <c r="F21" s="40">
        <f>F11*(Assumptions!$C$35+Assumptions!$C$36+Assumptions!$C$37*0.5)+F16*0.03</f>
        <v>3041.2</v>
      </c>
      <c r="G21" s="40">
        <f>G11*(Assumptions!$C$35+Assumptions!$C$36+Assumptions!$C$37*0.5)+G16*0.03</f>
        <v>3801.5</v>
      </c>
      <c r="H21" s="40">
        <f>H11*(Assumptions!$C$35+Assumptions!$C$36+Assumptions!$C$37*0.5)+H16*0.03</f>
        <v>4561.8</v>
      </c>
      <c r="I21" s="40">
        <f>I11*(Assumptions!$C$35+Assumptions!$C$36+Assumptions!$C$37*0.5)+I16*0.03</f>
        <v>4561.8</v>
      </c>
      <c r="J21" s="40">
        <f>J11*(Assumptions!$C$35+Assumptions!$C$36+Assumptions!$C$37*0.5)+J16*0.03</f>
        <v>4561.8</v>
      </c>
      <c r="K21" s="40">
        <f>K11*(Assumptions!$C$35+Assumptions!$C$36+Assumptions!$C$37*0.5)+K16*0.03</f>
        <v>4561.8</v>
      </c>
      <c r="L21" s="40">
        <f>L11*(Assumptions!$C$35+Assumptions!$C$36+Assumptions!$C$37*0.5)+L16*0.03</f>
        <v>4561.8</v>
      </c>
      <c r="M21" s="40">
        <f>M11*(Assumptions!$C$35+Assumptions!$C$36+Assumptions!$C$37*0.5)+M16*0.03</f>
        <v>4561.8</v>
      </c>
      <c r="N21" s="40">
        <f>N11*(Assumptions!$C$35+Assumptions!$C$36+Assumptions!$C$37*0.5)+N16*0.03</f>
        <v>4561.8</v>
      </c>
      <c r="O21" s="40">
        <f>O11*(Assumptions!$C$35+Assumptions!$C$36+Assumptions!$C$37*0.5)+O16*0.03</f>
        <v>4789.8900000000012</v>
      </c>
      <c r="P21" s="40">
        <f>P11*(Assumptions!$C$35+Assumptions!$C$36+Assumptions!$C$37*0.5)+P16*0.03</f>
        <v>5017.9799999999996</v>
      </c>
      <c r="Q21" s="40">
        <f>Q11*(Assumptions!$C$35+Assumptions!$C$36+Assumptions!$C$37*0.5)+Q16*0.03</f>
        <v>5246.07</v>
      </c>
      <c r="R21" s="40">
        <f>R11*(Assumptions!$C$35+Assumptions!$C$36+Assumptions!$C$37*0.5)+R16*0.03</f>
        <v>5474.1599999999989</v>
      </c>
      <c r="S21" s="40">
        <f>S11*(Assumptions!$C$35+Assumptions!$C$36+Assumptions!$C$37*0.5)+S16*0.03</f>
        <v>5702.25</v>
      </c>
      <c r="T21" s="40">
        <f>T11*(Assumptions!$C$35+Assumptions!$C$36+Assumptions!$C$37*0.5)+T16*0.03</f>
        <v>5930.3400000000011</v>
      </c>
      <c r="U21" s="40">
        <f>U11*(Assumptions!$C$35+Assumptions!$C$36+Assumptions!$C$37*0.5)+U16*0.03</f>
        <v>6158.4300000000012</v>
      </c>
      <c r="V21" s="40">
        <f>V11*(Assumptions!$C$35+Assumptions!$C$36+Assumptions!$C$37*0.5)+V16*0.03</f>
        <v>6386.5199999999986</v>
      </c>
      <c r="W21" s="40">
        <f>W11*(Assumptions!$C$35+Assumptions!$C$36+Assumptions!$C$37*0.5)+W16*0.03</f>
        <v>6614.6099999999988</v>
      </c>
      <c r="X21" s="40">
        <f>X11*(Assumptions!$C$35+Assumptions!$C$36+Assumptions!$C$37*0.5)+X16*0.03</f>
        <v>6842.7</v>
      </c>
      <c r="Y21" s="40">
        <f>Y11*(Assumptions!$C$35+Assumptions!$C$36+Assumptions!$C$37*0.5)+Y16*0.03</f>
        <v>7070.7900000000009</v>
      </c>
      <c r="Z21" s="40">
        <f>Z11*(Assumptions!$C$35+Assumptions!$C$36+Assumptions!$C$37*0.5)+Z16*0.03</f>
        <v>7298.880000000001</v>
      </c>
      <c r="AA21" s="40">
        <f t="shared" ref="AA21:AA29" si="1">SUM(C21:N21)</f>
        <v>45618.000000000007</v>
      </c>
      <c r="AB21" s="40">
        <f t="shared" ref="AB21:AB29" si="2">SUM(O21:Z21)</f>
        <v>72532.62</v>
      </c>
    </row>
    <row r="22" spans="2:28" x14ac:dyDescent="0.3">
      <c r="B22" s="17" t="s">
        <v>238</v>
      </c>
      <c r="C22" s="40">
        <f>C7*10.2</f>
        <v>367.2</v>
      </c>
      <c r="D22" s="40">
        <f t="shared" ref="D22:Z22" si="3">(D7-C7+C7*0.05)*10.2</f>
        <v>105.56999999999996</v>
      </c>
      <c r="E22" s="40">
        <f t="shared" si="3"/>
        <v>127.8028125</v>
      </c>
      <c r="F22" s="40">
        <f t="shared" si="3"/>
        <v>153.86038593750004</v>
      </c>
      <c r="G22" s="40">
        <f t="shared" si="3"/>
        <v>184.19535975585936</v>
      </c>
      <c r="H22" s="40">
        <f t="shared" si="3"/>
        <v>219.26744133728016</v>
      </c>
      <c r="I22" s="40">
        <f t="shared" si="3"/>
        <v>259.53173041617981</v>
      </c>
      <c r="J22" s="40">
        <f t="shared" si="3"/>
        <v>305.42453640440652</v>
      </c>
      <c r="K22" s="40">
        <f t="shared" si="3"/>
        <v>357.34670759315566</v>
      </c>
      <c r="L22" s="40">
        <f t="shared" si="3"/>
        <v>415.6446159793469</v>
      </c>
      <c r="M22" s="40">
        <f t="shared" si="3"/>
        <v>480.58908722611932</v>
      </c>
      <c r="N22" s="40">
        <f t="shared" si="3"/>
        <v>552.35272795380399</v>
      </c>
      <c r="O22" s="40">
        <f t="shared" si="3"/>
        <v>630.98627603055991</v>
      </c>
      <c r="P22" s="40">
        <f t="shared" si="3"/>
        <v>716.39477553612642</v>
      </c>
      <c r="Q22" s="40">
        <f t="shared" si="3"/>
        <v>808.31454636778278</v>
      </c>
      <c r="R22" s="40">
        <f t="shared" si="3"/>
        <v>906.29206713963504</v>
      </c>
      <c r="S22" s="40">
        <f t="shared" si="3"/>
        <v>1009.6660060477502</v>
      </c>
      <c r="T22" s="40">
        <f t="shared" si="3"/>
        <v>1117.5537042746266</v>
      </c>
      <c r="U22" s="40">
        <f t="shared" si="3"/>
        <v>1228.8434273253088</v>
      </c>
      <c r="V22" s="40">
        <f t="shared" si="3"/>
        <v>1342.1936400182462</v>
      </c>
      <c r="W22" s="40">
        <f t="shared" si="3"/>
        <v>1456.0404219840782</v>
      </c>
      <c r="X22" s="40">
        <f t="shared" si="3"/>
        <v>1568.6139175726639</v>
      </c>
      <c r="Y22" s="40">
        <f t="shared" si="3"/>
        <v>1677.9644070188365</v>
      </c>
      <c r="Z22" s="40">
        <f t="shared" si="3"/>
        <v>1781.9982002540019</v>
      </c>
      <c r="AA22" s="40">
        <f t="shared" si="1"/>
        <v>3528.7854051036516</v>
      </c>
      <c r="AB22" s="40">
        <f t="shared" si="2"/>
        <v>14244.861389569618</v>
      </c>
    </row>
    <row r="23" spans="2:28" x14ac:dyDescent="0.3">
      <c r="B23" s="17" t="s">
        <v>239</v>
      </c>
      <c r="C23" s="40">
        <f>Assumptions!$C$68</f>
        <v>250</v>
      </c>
      <c r="D23" s="40">
        <f>Assumptions!$C$68</f>
        <v>250</v>
      </c>
      <c r="E23" s="40">
        <f>Assumptions!$C$68</f>
        <v>250</v>
      </c>
      <c r="F23" s="40">
        <f>Assumptions!$C$68</f>
        <v>250</v>
      </c>
      <c r="G23" s="40">
        <f>Assumptions!$C$68</f>
        <v>250</v>
      </c>
      <c r="H23" s="40">
        <f>Assumptions!$C$68</f>
        <v>250</v>
      </c>
      <c r="I23" s="40">
        <f>Assumptions!$C$68</f>
        <v>250</v>
      </c>
      <c r="J23" s="40">
        <f>Assumptions!$C$68</f>
        <v>250</v>
      </c>
      <c r="K23" s="40">
        <f>Assumptions!$C$68</f>
        <v>250</v>
      </c>
      <c r="L23" s="40">
        <f>Assumptions!$C$68</f>
        <v>250</v>
      </c>
      <c r="M23" s="40">
        <f>Assumptions!$C$68</f>
        <v>250</v>
      </c>
      <c r="N23" s="40">
        <f>Assumptions!$C$68</f>
        <v>250</v>
      </c>
      <c r="O23" s="40">
        <f>Assumptions!$C$68</f>
        <v>250</v>
      </c>
      <c r="P23" s="40">
        <f>Assumptions!$C$68</f>
        <v>250</v>
      </c>
      <c r="Q23" s="40">
        <f>Assumptions!$C$68</f>
        <v>250</v>
      </c>
      <c r="R23" s="40">
        <f>Assumptions!$C$68</f>
        <v>250</v>
      </c>
      <c r="S23" s="40">
        <f>Assumptions!$C$68</f>
        <v>250</v>
      </c>
      <c r="T23" s="40">
        <f>Assumptions!$C$68</f>
        <v>250</v>
      </c>
      <c r="U23" s="40">
        <f>Assumptions!$C$68</f>
        <v>250</v>
      </c>
      <c r="V23" s="40">
        <f>Assumptions!$C$68</f>
        <v>250</v>
      </c>
      <c r="W23" s="40">
        <f>Assumptions!$C$68</f>
        <v>250</v>
      </c>
      <c r="X23" s="40">
        <f>Assumptions!$C$68</f>
        <v>250</v>
      </c>
      <c r="Y23" s="40">
        <f>Assumptions!$C$68</f>
        <v>250</v>
      </c>
      <c r="Z23" s="40">
        <f>Assumptions!$C$68</f>
        <v>250</v>
      </c>
      <c r="AA23" s="40">
        <f t="shared" si="1"/>
        <v>3000</v>
      </c>
      <c r="AB23" s="40">
        <f t="shared" si="2"/>
        <v>3000</v>
      </c>
    </row>
    <row r="24" spans="2:28" x14ac:dyDescent="0.3">
      <c r="B24" s="17" t="s">
        <v>240</v>
      </c>
      <c r="C24" s="40">
        <f>Assumptions!$C$66</f>
        <v>0</v>
      </c>
      <c r="D24" s="40">
        <f>Assumptions!$C$66</f>
        <v>0</v>
      </c>
      <c r="E24" s="40">
        <f>Assumptions!$C$66</f>
        <v>0</v>
      </c>
      <c r="F24" s="40">
        <f>Assumptions!$C$66</f>
        <v>0</v>
      </c>
      <c r="G24" s="40">
        <f>Assumptions!$C$66</f>
        <v>0</v>
      </c>
      <c r="H24" s="40">
        <f>Assumptions!$C$66</f>
        <v>0</v>
      </c>
      <c r="I24" s="40">
        <f>Assumptions!$C$66</f>
        <v>0</v>
      </c>
      <c r="J24" s="40">
        <f>Assumptions!$C$66</f>
        <v>0</v>
      </c>
      <c r="K24" s="40">
        <f>Assumptions!$C$66</f>
        <v>0</v>
      </c>
      <c r="L24" s="40">
        <f>Assumptions!$C$66</f>
        <v>0</v>
      </c>
      <c r="M24" s="40">
        <f>Assumptions!$C$66</f>
        <v>0</v>
      </c>
      <c r="N24" s="40">
        <f>Assumptions!$C$66</f>
        <v>0</v>
      </c>
      <c r="O24" s="40">
        <f>Assumptions!$C$66</f>
        <v>0</v>
      </c>
      <c r="P24" s="40">
        <f>Assumptions!$C$66</f>
        <v>0</v>
      </c>
      <c r="Q24" s="40">
        <f>Assumptions!$C$66</f>
        <v>0</v>
      </c>
      <c r="R24" s="40">
        <f>Assumptions!$C$66</f>
        <v>0</v>
      </c>
      <c r="S24" s="40">
        <f>Assumptions!$C$66</f>
        <v>0</v>
      </c>
      <c r="T24" s="40">
        <f>Assumptions!$C$66</f>
        <v>0</v>
      </c>
      <c r="U24" s="40">
        <f>Assumptions!$C$66</f>
        <v>0</v>
      </c>
      <c r="V24" s="40">
        <f>Assumptions!$C$66</f>
        <v>0</v>
      </c>
      <c r="W24" s="40">
        <f>Assumptions!$C$66</f>
        <v>0</v>
      </c>
      <c r="X24" s="40">
        <f>Assumptions!$C$66</f>
        <v>0</v>
      </c>
      <c r="Y24" s="40">
        <f>Assumptions!$C$66</f>
        <v>0</v>
      </c>
      <c r="Z24" s="40">
        <f>Assumptions!$C$66</f>
        <v>0</v>
      </c>
      <c r="AA24" s="40">
        <f t="shared" si="1"/>
        <v>0</v>
      </c>
      <c r="AB24" s="40">
        <f t="shared" si="2"/>
        <v>0</v>
      </c>
    </row>
    <row r="25" spans="2:28" x14ac:dyDescent="0.3">
      <c r="B25" s="17" t="s">
        <v>241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f>Assumptions!$C$67</f>
        <v>5000</v>
      </c>
      <c r="I25" s="40">
        <f>Assumptions!$C$67</f>
        <v>5000</v>
      </c>
      <c r="J25" s="40">
        <f>Assumptions!$C$67</f>
        <v>5000</v>
      </c>
      <c r="K25" s="40">
        <f>Assumptions!$C$67</f>
        <v>5000</v>
      </c>
      <c r="L25" s="40">
        <f>Assumptions!$C$67</f>
        <v>5000</v>
      </c>
      <c r="M25" s="40">
        <f>Assumptions!$C$67</f>
        <v>5000</v>
      </c>
      <c r="N25" s="40">
        <f>Assumptions!$C$67</f>
        <v>5000</v>
      </c>
      <c r="O25" s="40">
        <f>Assumptions!$C$67</f>
        <v>5000</v>
      </c>
      <c r="P25" s="40">
        <f>Assumptions!$C$67</f>
        <v>5000</v>
      </c>
      <c r="Q25" s="40">
        <f>Assumptions!$C$67</f>
        <v>5000</v>
      </c>
      <c r="R25" s="40">
        <f>Assumptions!$C$67</f>
        <v>5000</v>
      </c>
      <c r="S25" s="40">
        <f>Assumptions!$C$67</f>
        <v>5000</v>
      </c>
      <c r="T25" s="40">
        <f>Assumptions!$C$67</f>
        <v>5000</v>
      </c>
      <c r="U25" s="40">
        <f>Assumptions!$C$67</f>
        <v>5000</v>
      </c>
      <c r="V25" s="40">
        <f>Assumptions!$C$67</f>
        <v>5000</v>
      </c>
      <c r="W25" s="40">
        <f>Assumptions!$C$67</f>
        <v>5000</v>
      </c>
      <c r="X25" s="40">
        <f>Assumptions!$C$67</f>
        <v>5000</v>
      </c>
      <c r="Y25" s="40">
        <f>Assumptions!$C$67</f>
        <v>5000</v>
      </c>
      <c r="Z25" s="40">
        <f>Assumptions!$C$67</f>
        <v>5000</v>
      </c>
      <c r="AA25" s="40">
        <f t="shared" si="1"/>
        <v>35000</v>
      </c>
      <c r="AB25" s="40">
        <f t="shared" si="2"/>
        <v>60000</v>
      </c>
    </row>
    <row r="26" spans="2:28" x14ac:dyDescent="0.3">
      <c r="B26" s="17" t="s">
        <v>152</v>
      </c>
      <c r="C26" s="40">
        <f>Assumptions!$C$69</f>
        <v>500</v>
      </c>
      <c r="D26" s="40">
        <f>Assumptions!$C$69</f>
        <v>500</v>
      </c>
      <c r="E26" s="40">
        <f>Assumptions!$C$69</f>
        <v>500</v>
      </c>
      <c r="F26" s="40">
        <f>Assumptions!$C$69</f>
        <v>500</v>
      </c>
      <c r="G26" s="40">
        <f>Assumptions!$C$69</f>
        <v>500</v>
      </c>
      <c r="H26" s="40">
        <f>Assumptions!$C$69</f>
        <v>500</v>
      </c>
      <c r="I26" s="40">
        <f>Assumptions!$C$69</f>
        <v>500</v>
      </c>
      <c r="J26" s="40">
        <f>Assumptions!$C$69</f>
        <v>500</v>
      </c>
      <c r="K26" s="40">
        <f>Assumptions!$C$69</f>
        <v>500</v>
      </c>
      <c r="L26" s="40">
        <f>Assumptions!$C$69</f>
        <v>500</v>
      </c>
      <c r="M26" s="40">
        <f>Assumptions!$C$69</f>
        <v>500</v>
      </c>
      <c r="N26" s="40">
        <f>Assumptions!$C$69</f>
        <v>500</v>
      </c>
      <c r="O26" s="40">
        <f>Assumptions!$C$69</f>
        <v>500</v>
      </c>
      <c r="P26" s="40">
        <f>Assumptions!$C$69</f>
        <v>500</v>
      </c>
      <c r="Q26" s="40">
        <f>Assumptions!$C$69</f>
        <v>500</v>
      </c>
      <c r="R26" s="40">
        <f>Assumptions!$C$69</f>
        <v>500</v>
      </c>
      <c r="S26" s="40">
        <f>Assumptions!$C$69</f>
        <v>500</v>
      </c>
      <c r="T26" s="40">
        <f>Assumptions!$C$69</f>
        <v>500</v>
      </c>
      <c r="U26" s="40">
        <f>Assumptions!$C$69</f>
        <v>500</v>
      </c>
      <c r="V26" s="40">
        <f>Assumptions!$C$69</f>
        <v>500</v>
      </c>
      <c r="W26" s="40">
        <f>Assumptions!$C$69</f>
        <v>500</v>
      </c>
      <c r="X26" s="40">
        <f>Assumptions!$C$69</f>
        <v>500</v>
      </c>
      <c r="Y26" s="40">
        <f>Assumptions!$C$69</f>
        <v>500</v>
      </c>
      <c r="Z26" s="40">
        <f>Assumptions!$C$69</f>
        <v>500</v>
      </c>
      <c r="AA26" s="40">
        <f t="shared" si="1"/>
        <v>6000</v>
      </c>
      <c r="AB26" s="40">
        <f t="shared" si="2"/>
        <v>6000</v>
      </c>
    </row>
    <row r="27" spans="2:28" x14ac:dyDescent="0.3">
      <c r="B27" s="17" t="s">
        <v>242</v>
      </c>
      <c r="C27" s="40">
        <f>Assumptions!$C$70</f>
        <v>350</v>
      </c>
      <c r="D27" s="40">
        <f>Assumptions!$C$70</f>
        <v>350</v>
      </c>
      <c r="E27" s="40">
        <f>Assumptions!$C$70</f>
        <v>350</v>
      </c>
      <c r="F27" s="40">
        <f>Assumptions!$C$70</f>
        <v>350</v>
      </c>
      <c r="G27" s="40">
        <f>Assumptions!$C$70</f>
        <v>350</v>
      </c>
      <c r="H27" s="40">
        <f>Assumptions!$C$70</f>
        <v>350</v>
      </c>
      <c r="I27" s="40">
        <f>Assumptions!$C$70</f>
        <v>350</v>
      </c>
      <c r="J27" s="40">
        <f>Assumptions!$C$70</f>
        <v>350</v>
      </c>
      <c r="K27" s="40">
        <f>Assumptions!$C$70</f>
        <v>350</v>
      </c>
      <c r="L27" s="40">
        <f>Assumptions!$C$70</f>
        <v>350</v>
      </c>
      <c r="M27" s="40">
        <f>Assumptions!$C$70</f>
        <v>350</v>
      </c>
      <c r="N27" s="40">
        <f>Assumptions!$C$70</f>
        <v>350</v>
      </c>
      <c r="O27" s="40">
        <f>Assumptions!$C$70</f>
        <v>350</v>
      </c>
      <c r="P27" s="40">
        <f>Assumptions!$C$70</f>
        <v>350</v>
      </c>
      <c r="Q27" s="40">
        <f>Assumptions!$C$70</f>
        <v>350</v>
      </c>
      <c r="R27" s="40">
        <f>Assumptions!$C$70</f>
        <v>350</v>
      </c>
      <c r="S27" s="40">
        <f>Assumptions!$C$70</f>
        <v>350</v>
      </c>
      <c r="T27" s="40">
        <f>Assumptions!$C$70</f>
        <v>350</v>
      </c>
      <c r="U27" s="40">
        <f>Assumptions!$C$70</f>
        <v>350</v>
      </c>
      <c r="V27" s="40">
        <f>Assumptions!$C$70</f>
        <v>350</v>
      </c>
      <c r="W27" s="40">
        <f>Assumptions!$C$70</f>
        <v>350</v>
      </c>
      <c r="X27" s="40">
        <f>Assumptions!$C$70</f>
        <v>350</v>
      </c>
      <c r="Y27" s="40">
        <f>Assumptions!$C$70</f>
        <v>350</v>
      </c>
      <c r="Z27" s="40">
        <f>Assumptions!$C$70</f>
        <v>350</v>
      </c>
      <c r="AA27" s="40">
        <f t="shared" si="1"/>
        <v>4200</v>
      </c>
      <c r="AB27" s="40">
        <f t="shared" si="2"/>
        <v>4200</v>
      </c>
    </row>
    <row r="28" spans="2:28" x14ac:dyDescent="0.3">
      <c r="B28" s="17" t="s">
        <v>156</v>
      </c>
      <c r="C28" s="40">
        <f>Assumptions!$C$71</f>
        <v>500</v>
      </c>
      <c r="D28" s="40">
        <f>Assumptions!$C$71</f>
        <v>500</v>
      </c>
      <c r="E28" s="40">
        <f>Assumptions!$C$71</f>
        <v>500</v>
      </c>
      <c r="F28" s="40">
        <f>Assumptions!$C$71</f>
        <v>500</v>
      </c>
      <c r="G28" s="40">
        <f>Assumptions!$C$71</f>
        <v>500</v>
      </c>
      <c r="H28" s="40">
        <f>Assumptions!$C$71</f>
        <v>500</v>
      </c>
      <c r="I28" s="40">
        <f>Assumptions!$C$71</f>
        <v>500</v>
      </c>
      <c r="J28" s="40">
        <f>Assumptions!$C$71</f>
        <v>500</v>
      </c>
      <c r="K28" s="40">
        <f>Assumptions!$C$71</f>
        <v>500</v>
      </c>
      <c r="L28" s="40">
        <f>Assumptions!$C$71</f>
        <v>500</v>
      </c>
      <c r="M28" s="40">
        <f>Assumptions!$C$71</f>
        <v>500</v>
      </c>
      <c r="N28" s="40">
        <f>Assumptions!$C$71</f>
        <v>500</v>
      </c>
      <c r="O28" s="40">
        <f>Assumptions!$C$71</f>
        <v>500</v>
      </c>
      <c r="P28" s="40">
        <f>Assumptions!$C$71</f>
        <v>500</v>
      </c>
      <c r="Q28" s="40">
        <f>Assumptions!$C$71</f>
        <v>500</v>
      </c>
      <c r="R28" s="40">
        <f>Assumptions!$C$71</f>
        <v>500</v>
      </c>
      <c r="S28" s="40">
        <f>Assumptions!$C$71</f>
        <v>500</v>
      </c>
      <c r="T28" s="40">
        <f>Assumptions!$C$71</f>
        <v>500</v>
      </c>
      <c r="U28" s="40">
        <f>Assumptions!$C$71</f>
        <v>500</v>
      </c>
      <c r="V28" s="40">
        <f>Assumptions!$C$71</f>
        <v>500</v>
      </c>
      <c r="W28" s="40">
        <f>Assumptions!$C$71</f>
        <v>500</v>
      </c>
      <c r="X28" s="40">
        <f>Assumptions!$C$71</f>
        <v>500</v>
      </c>
      <c r="Y28" s="40">
        <f>Assumptions!$C$71</f>
        <v>500</v>
      </c>
      <c r="Z28" s="40">
        <f>Assumptions!$C$71</f>
        <v>500</v>
      </c>
      <c r="AA28" s="40">
        <f t="shared" si="1"/>
        <v>6000</v>
      </c>
      <c r="AB28" s="40">
        <f t="shared" si="2"/>
        <v>6000</v>
      </c>
    </row>
    <row r="29" spans="2:28" x14ac:dyDescent="0.3">
      <c r="B29" s="13" t="s">
        <v>243</v>
      </c>
      <c r="C29" s="41">
        <f t="shared" ref="C29:Z29" si="4">SUM(C21:C28)</f>
        <v>3867.95</v>
      </c>
      <c r="D29" s="41">
        <f t="shared" si="4"/>
        <v>3986.4700000000003</v>
      </c>
      <c r="E29" s="41">
        <f t="shared" si="4"/>
        <v>4388.8528125000003</v>
      </c>
      <c r="F29" s="41">
        <f t="shared" si="4"/>
        <v>4795.0603859374996</v>
      </c>
      <c r="G29" s="41">
        <f t="shared" si="4"/>
        <v>5585.6953597558595</v>
      </c>
      <c r="H29" s="41">
        <f t="shared" si="4"/>
        <v>11381.06744133728</v>
      </c>
      <c r="I29" s="41">
        <f t="shared" si="4"/>
        <v>11421.331730416179</v>
      </c>
      <c r="J29" s="41">
        <f t="shared" si="4"/>
        <v>11467.224536404407</v>
      </c>
      <c r="K29" s="41">
        <f t="shared" si="4"/>
        <v>11519.146707593156</v>
      </c>
      <c r="L29" s="41">
        <f t="shared" si="4"/>
        <v>11577.444615979348</v>
      </c>
      <c r="M29" s="41">
        <f t="shared" si="4"/>
        <v>11642.38908722612</v>
      </c>
      <c r="N29" s="41">
        <f t="shared" si="4"/>
        <v>11714.152727953804</v>
      </c>
      <c r="O29" s="41">
        <f t="shared" si="4"/>
        <v>12020.876276030562</v>
      </c>
      <c r="P29" s="41">
        <f t="shared" si="4"/>
        <v>12334.374775536126</v>
      </c>
      <c r="Q29" s="41">
        <f t="shared" si="4"/>
        <v>12654.384546367783</v>
      </c>
      <c r="R29" s="41">
        <f t="shared" si="4"/>
        <v>12980.452067139635</v>
      </c>
      <c r="S29" s="41">
        <f t="shared" si="4"/>
        <v>13311.91600604775</v>
      </c>
      <c r="T29" s="41">
        <f t="shared" si="4"/>
        <v>13647.893704274627</v>
      </c>
      <c r="U29" s="41">
        <f t="shared" si="4"/>
        <v>13987.27342732531</v>
      </c>
      <c r="V29" s="41">
        <f t="shared" si="4"/>
        <v>14328.713640018244</v>
      </c>
      <c r="W29" s="41">
        <f t="shared" si="4"/>
        <v>14670.650421984077</v>
      </c>
      <c r="X29" s="41">
        <f t="shared" si="4"/>
        <v>15011.313917572665</v>
      </c>
      <c r="Y29" s="41">
        <f t="shared" si="4"/>
        <v>15348.754407018838</v>
      </c>
      <c r="Z29" s="41">
        <f t="shared" si="4"/>
        <v>15680.878200254003</v>
      </c>
      <c r="AA29" s="41">
        <f t="shared" si="1"/>
        <v>103346.78540510366</v>
      </c>
      <c r="AB29" s="41">
        <f t="shared" si="2"/>
        <v>165977.48138956961</v>
      </c>
    </row>
    <row r="31" spans="2:28" x14ac:dyDescent="0.3">
      <c r="B31" s="4" t="s">
        <v>244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 x14ac:dyDescent="0.3">
      <c r="B32" s="13" t="s">
        <v>245</v>
      </c>
      <c r="C32" s="33">
        <f t="shared" ref="C32:Z32" si="5">C18-C29</f>
        <v>1822.6900000000005</v>
      </c>
      <c r="D32" s="33">
        <f t="shared" si="5"/>
        <v>2867.2594999999992</v>
      </c>
      <c r="E32" s="33">
        <f t="shared" si="5"/>
        <v>3660.3641343749996</v>
      </c>
      <c r="F32" s="33">
        <f t="shared" si="5"/>
        <v>4487.3553739843746</v>
      </c>
      <c r="G32" s="33">
        <f t="shared" si="5"/>
        <v>5978.4988476489261</v>
      </c>
      <c r="H32" s="33">
        <f t="shared" si="5"/>
        <v>2514.8930351410218</v>
      </c>
      <c r="I32" s="33">
        <f t="shared" si="5"/>
        <v>2853.2955943357738</v>
      </c>
      <c r="J32" s="33">
        <f t="shared" si="5"/>
        <v>3250.3282532979356</v>
      </c>
      <c r="K32" s="33">
        <f t="shared" si="5"/>
        <v>3713.3069351140166</v>
      </c>
      <c r="L32" s="33">
        <f t="shared" si="5"/>
        <v>4249.8440847354177</v>
      </c>
      <c r="M32" s="33">
        <f t="shared" si="5"/>
        <v>4867.7206904931973</v>
      </c>
      <c r="N32" s="33">
        <f t="shared" si="5"/>
        <v>5574.7262608663932</v>
      </c>
      <c r="O32" s="33">
        <f t="shared" si="5"/>
        <v>6753.376042153046</v>
      </c>
      <c r="P32" s="33">
        <f t="shared" si="5"/>
        <v>8035.9560443523187</v>
      </c>
      <c r="Q32" s="33">
        <f t="shared" si="5"/>
        <v>9428.9979641282262</v>
      </c>
      <c r="R32" s="33">
        <f t="shared" si="5"/>
        <v>10938.087819930774</v>
      </c>
      <c r="S32" s="33">
        <f t="shared" si="5"/>
        <v>12567.563989789031</v>
      </c>
      <c r="T32" s="33">
        <f t="shared" si="5"/>
        <v>14320.202290989711</v>
      </c>
      <c r="U32" s="33">
        <f t="shared" si="5"/>
        <v>16196.897667317478</v>
      </c>
      <c r="V32" s="33">
        <f t="shared" si="5"/>
        <v>18196.353841454889</v>
      </c>
      <c r="W32" s="33">
        <f t="shared" si="5"/>
        <v>20314.793822913991</v>
      </c>
      <c r="X32" s="33">
        <f t="shared" si="5"/>
        <v>22545.705304876432</v>
      </c>
      <c r="Y32" s="33">
        <f t="shared" si="5"/>
        <v>24879.635607815486</v>
      </c>
      <c r="Z32" s="33">
        <f t="shared" si="5"/>
        <v>27304.050816063747</v>
      </c>
      <c r="AA32" s="33">
        <f>SUM(C32:N32)</f>
        <v>45840.282709992061</v>
      </c>
      <c r="AB32" s="33">
        <f>SUM(O32:Z32)</f>
        <v>191481.62121178512</v>
      </c>
    </row>
    <row r="33" spans="2:28" x14ac:dyDescent="0.3">
      <c r="B33" s="13" t="s">
        <v>246</v>
      </c>
      <c r="C33" s="42">
        <f t="shared" ref="C33:Z33" si="6">IFERROR(C32/C18,0)</f>
        <v>0.32029613540831969</v>
      </c>
      <c r="D33" s="42">
        <f t="shared" si="6"/>
        <v>0.41835025733069847</v>
      </c>
      <c r="E33" s="42">
        <f t="shared" si="6"/>
        <v>0.45474785417432273</v>
      </c>
      <c r="F33" s="42">
        <f t="shared" si="6"/>
        <v>0.48342538085388914</v>
      </c>
      <c r="G33" s="42">
        <f t="shared" si="6"/>
        <v>0.5169836082327961</v>
      </c>
      <c r="H33" s="42">
        <f t="shared" si="6"/>
        <v>0.18098015170653242</v>
      </c>
      <c r="I33" s="42">
        <f t="shared" si="6"/>
        <v>0.19988582044367698</v>
      </c>
      <c r="J33" s="42">
        <f t="shared" si="6"/>
        <v>0.2208470592727986</v>
      </c>
      <c r="K33" s="42">
        <f t="shared" si="6"/>
        <v>0.24377602073923482</v>
      </c>
      <c r="L33" s="42">
        <f t="shared" si="6"/>
        <v>0.26851371483123915</v>
      </c>
      <c r="M33" s="42">
        <f t="shared" si="6"/>
        <v>0.29483272710047465</v>
      </c>
      <c r="N33" s="42">
        <f t="shared" si="6"/>
        <v>0.32244579098918291</v>
      </c>
      <c r="O33" s="42">
        <f t="shared" si="6"/>
        <v>0.35971477999217755</v>
      </c>
      <c r="P33" s="42">
        <f t="shared" si="6"/>
        <v>0.39449315356756326</v>
      </c>
      <c r="Q33" s="42">
        <f t="shared" si="6"/>
        <v>0.42697254189419209</v>
      </c>
      <c r="R33" s="42">
        <f t="shared" si="6"/>
        <v>0.45730583353223625</v>
      </c>
      <c r="S33" s="42">
        <f t="shared" si="6"/>
        <v>0.48561887610611837</v>
      </c>
      <c r="T33" s="42">
        <f t="shared" si="6"/>
        <v>0.51201920550524649</v>
      </c>
      <c r="U33" s="42">
        <f t="shared" si="6"/>
        <v>0.53660236739753209</v>
      </c>
      <c r="V33" s="42">
        <f t="shared" si="6"/>
        <v>0.5594562978791624</v>
      </c>
      <c r="W33" s="42">
        <f t="shared" si="6"/>
        <v>0.58066416652338204</v>
      </c>
      <c r="X33" s="42">
        <f t="shared" si="6"/>
        <v>0.60030603524041393</v>
      </c>
      <c r="Y33" s="42">
        <f t="shared" si="6"/>
        <v>0.61845964003632892</v>
      </c>
      <c r="Z33" s="42">
        <f t="shared" si="6"/>
        <v>0.63520055612279136</v>
      </c>
      <c r="AA33" s="46">
        <f>AA32/AA18</f>
        <v>0.30726713306428771</v>
      </c>
      <c r="AB33" s="46">
        <f>AB32/AB18</f>
        <v>0.53567420669471411</v>
      </c>
    </row>
    <row r="34" spans="2:28" x14ac:dyDescent="0.3">
      <c r="B34" s="13" t="s">
        <v>247</v>
      </c>
      <c r="C34" s="36">
        <f>C32</f>
        <v>1822.6900000000005</v>
      </c>
      <c r="D34" s="36">
        <f t="shared" ref="D34:Z34" si="7">C34+D32</f>
        <v>4689.9494999999997</v>
      </c>
      <c r="E34" s="36">
        <f t="shared" si="7"/>
        <v>8350.3136343749993</v>
      </c>
      <c r="F34" s="36">
        <f t="shared" si="7"/>
        <v>12837.669008359375</v>
      </c>
      <c r="G34" s="36">
        <f t="shared" si="7"/>
        <v>18816.167856008302</v>
      </c>
      <c r="H34" s="36">
        <f t="shared" si="7"/>
        <v>21331.060891149325</v>
      </c>
      <c r="I34" s="36">
        <f t="shared" si="7"/>
        <v>24184.356485485099</v>
      </c>
      <c r="J34" s="36">
        <f t="shared" si="7"/>
        <v>27434.684738783035</v>
      </c>
      <c r="K34" s="36">
        <f t="shared" si="7"/>
        <v>31147.99167389705</v>
      </c>
      <c r="L34" s="36">
        <f t="shared" si="7"/>
        <v>35397.835758632471</v>
      </c>
      <c r="M34" s="36">
        <f t="shared" si="7"/>
        <v>40265.556449125666</v>
      </c>
      <c r="N34" s="36">
        <f t="shared" si="7"/>
        <v>45840.282709992061</v>
      </c>
      <c r="O34" s="36">
        <f t="shared" si="7"/>
        <v>52593.658752145107</v>
      </c>
      <c r="P34" s="36">
        <f t="shared" si="7"/>
        <v>60629.614796497423</v>
      </c>
      <c r="Q34" s="36">
        <f t="shared" si="7"/>
        <v>70058.612760625649</v>
      </c>
      <c r="R34" s="36">
        <f t="shared" si="7"/>
        <v>80996.700580556426</v>
      </c>
      <c r="S34" s="36">
        <f t="shared" si="7"/>
        <v>93564.264570345462</v>
      </c>
      <c r="T34" s="36">
        <f t="shared" si="7"/>
        <v>107884.46686133517</v>
      </c>
      <c r="U34" s="36">
        <f t="shared" si="7"/>
        <v>124081.36452865264</v>
      </c>
      <c r="V34" s="36">
        <f t="shared" si="7"/>
        <v>142277.71837010753</v>
      </c>
      <c r="W34" s="36">
        <f t="shared" si="7"/>
        <v>162592.51219302151</v>
      </c>
      <c r="X34" s="36">
        <f t="shared" si="7"/>
        <v>185138.21749789795</v>
      </c>
      <c r="Y34" s="36">
        <f t="shared" si="7"/>
        <v>210017.85310571344</v>
      </c>
      <c r="Z34" s="36">
        <f t="shared" si="7"/>
        <v>237321.90392177718</v>
      </c>
      <c r="AA34" s="36">
        <f>N34</f>
        <v>45840.282709992061</v>
      </c>
      <c r="AB34" s="36">
        <f>Z34</f>
        <v>237321.90392177718</v>
      </c>
    </row>
  </sheetData>
  <mergeCells count="5">
    <mergeCell ref="B2:Z2"/>
    <mergeCell ref="B5:AB5"/>
    <mergeCell ref="B14:AB14"/>
    <mergeCell ref="B20:AB20"/>
    <mergeCell ref="B31:AB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8"/>
  <sheetViews>
    <sheetView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8" width="16" customWidth="1"/>
  </cols>
  <sheetData>
    <row r="2" spans="2:7" ht="24" customHeight="1" x14ac:dyDescent="0.3">
      <c r="B2" s="6" t="s">
        <v>248</v>
      </c>
      <c r="C2" s="6"/>
      <c r="D2" s="6"/>
      <c r="E2" s="6"/>
      <c r="F2" s="6"/>
      <c r="G2" s="6"/>
    </row>
    <row r="4" spans="2:7" x14ac:dyDescent="0.3">
      <c r="B4" s="27" t="s">
        <v>249</v>
      </c>
      <c r="C4" s="27" t="s">
        <v>250</v>
      </c>
      <c r="D4" s="27" t="s">
        <v>251</v>
      </c>
      <c r="E4" s="27" t="s">
        <v>252</v>
      </c>
      <c r="F4" s="27" t="s">
        <v>253</v>
      </c>
      <c r="G4" s="27" t="s">
        <v>254</v>
      </c>
    </row>
    <row r="5" spans="2:7" x14ac:dyDescent="0.3">
      <c r="B5" s="13" t="s">
        <v>255</v>
      </c>
      <c r="C5" s="30">
        <f>Assumptions!C57</f>
        <v>0.25</v>
      </c>
      <c r="D5" s="28">
        <f>Assumptions!C49</f>
        <v>5</v>
      </c>
      <c r="E5" s="40">
        <f t="shared" ref="E5:E10" si="0">F5*D5</f>
        <v>353.49371206193871</v>
      </c>
      <c r="F5" s="39">
        <f>'Monthly P&amp;L'!AA7*C5</f>
        <v>70.698742412387745</v>
      </c>
      <c r="G5" s="15" t="s">
        <v>256</v>
      </c>
    </row>
    <row r="6" spans="2:7" x14ac:dyDescent="0.3">
      <c r="B6" s="13" t="s">
        <v>257</v>
      </c>
      <c r="C6" s="30">
        <f>Assumptions!C58</f>
        <v>0.2</v>
      </c>
      <c r="D6" s="28">
        <f>Assumptions!C50</f>
        <v>20</v>
      </c>
      <c r="E6" s="40">
        <f t="shared" si="0"/>
        <v>1131.1798785982041</v>
      </c>
      <c r="F6" s="39">
        <f>'Monthly P&amp;L'!AA7*C6</f>
        <v>56.558993929910201</v>
      </c>
      <c r="G6" s="15" t="s">
        <v>258</v>
      </c>
    </row>
    <row r="7" spans="2:7" x14ac:dyDescent="0.3">
      <c r="B7" s="13" t="s">
        <v>259</v>
      </c>
      <c r="C7" s="30">
        <f>Assumptions!C59</f>
        <v>0.2</v>
      </c>
      <c r="D7" s="28">
        <f>Assumptions!C51</f>
        <v>14</v>
      </c>
      <c r="E7" s="40">
        <f t="shared" si="0"/>
        <v>791.82591501874276</v>
      </c>
      <c r="F7" s="39">
        <f>'Monthly P&amp;L'!AA7*C7</f>
        <v>56.558993929910201</v>
      </c>
      <c r="G7" s="15" t="s">
        <v>260</v>
      </c>
    </row>
    <row r="8" spans="2:7" x14ac:dyDescent="0.3">
      <c r="B8" s="13" t="s">
        <v>261</v>
      </c>
      <c r="C8" s="30">
        <f>Assumptions!C60</f>
        <v>0.15</v>
      </c>
      <c r="D8" s="28">
        <f>Assumptions!C52</f>
        <v>10</v>
      </c>
      <c r="E8" s="40">
        <f t="shared" si="0"/>
        <v>424.19245447432644</v>
      </c>
      <c r="F8" s="39">
        <f>'Monthly P&amp;L'!AA7*C8</f>
        <v>42.419245447432644</v>
      </c>
      <c r="G8" s="15" t="s">
        <v>262</v>
      </c>
    </row>
    <row r="9" spans="2:7" x14ac:dyDescent="0.3">
      <c r="B9" s="13" t="s">
        <v>263</v>
      </c>
      <c r="C9" s="30">
        <f>Assumptions!C61</f>
        <v>0.1</v>
      </c>
      <c r="D9" s="28">
        <f>Assumptions!C53</f>
        <v>16</v>
      </c>
      <c r="E9" s="40">
        <f t="shared" si="0"/>
        <v>452.47195143928161</v>
      </c>
      <c r="F9" s="39">
        <f>'Monthly P&amp;L'!AA7*C9</f>
        <v>28.279496964955101</v>
      </c>
      <c r="G9" s="15" t="s">
        <v>264</v>
      </c>
    </row>
    <row r="10" spans="2:7" x14ac:dyDescent="0.3">
      <c r="B10" s="13" t="s">
        <v>265</v>
      </c>
      <c r="C10" s="30">
        <f>Assumptions!C62</f>
        <v>0.1</v>
      </c>
      <c r="D10" s="28">
        <f>Assumptions!C54</f>
        <v>4</v>
      </c>
      <c r="E10" s="40">
        <f t="shared" si="0"/>
        <v>113.1179878598204</v>
      </c>
      <c r="F10" s="39">
        <f>'Monthly P&amp;L'!AA7*C10</f>
        <v>28.279496964955101</v>
      </c>
      <c r="G10" s="15" t="s">
        <v>266</v>
      </c>
    </row>
    <row r="11" spans="2:7" x14ac:dyDescent="0.3">
      <c r="B11" s="47" t="s">
        <v>267</v>
      </c>
      <c r="C11" s="48">
        <f>SUM(C5:C10)</f>
        <v>1</v>
      </c>
      <c r="D11" s="49">
        <f>SUMPRODUCT(C5:C10,D5:D10)</f>
        <v>11.55</v>
      </c>
      <c r="E11" s="33">
        <f>SUM(E5:E10)</f>
        <v>3266.2818994523141</v>
      </c>
      <c r="F11" s="50">
        <f>SUM(F5:F10)</f>
        <v>282.79496964955098</v>
      </c>
      <c r="G11" s="16"/>
    </row>
    <row r="13" spans="2:7" x14ac:dyDescent="0.3">
      <c r="B13" s="3" t="s">
        <v>268</v>
      </c>
      <c r="C13" s="3"/>
      <c r="D13" s="3"/>
      <c r="E13" s="3"/>
      <c r="F13" s="3"/>
      <c r="G13" s="3"/>
    </row>
    <row r="14" spans="2:7" x14ac:dyDescent="0.3">
      <c r="B14" s="13" t="s">
        <v>171</v>
      </c>
      <c r="C14" s="34">
        <f>D11</f>
        <v>11.55</v>
      </c>
    </row>
    <row r="15" spans="2:7" x14ac:dyDescent="0.3">
      <c r="B15" s="13" t="s">
        <v>269</v>
      </c>
      <c r="C15" s="34">
        <f>'Subscription Model'!F6</f>
        <v>18.489999999999998</v>
      </c>
    </row>
    <row r="16" spans="2:7" x14ac:dyDescent="0.3">
      <c r="B16" s="13" t="s">
        <v>173</v>
      </c>
      <c r="C16" s="51">
        <f>C14/C15</f>
        <v>0.62466197944835056</v>
      </c>
    </row>
    <row r="17" spans="2:3" x14ac:dyDescent="0.3">
      <c r="B17" s="13" t="s">
        <v>174</v>
      </c>
      <c r="C17" s="36">
        <f>'Subscription Model'!F10</f>
        <v>305.61983471074376</v>
      </c>
    </row>
    <row r="18" spans="2:3" x14ac:dyDescent="0.3">
      <c r="B18" s="13" t="s">
        <v>175</v>
      </c>
      <c r="C18" s="37">
        <f>C17/C14</f>
        <v>26.460591749847943</v>
      </c>
    </row>
  </sheetData>
  <mergeCells count="2">
    <mergeCell ref="B2:G2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28"/>
  <sheetViews>
    <sheetView zoomScaleNormal="100" workbookViewId="0">
      <selection activeCell="Q12" sqref="Q12"/>
    </sheetView>
  </sheetViews>
  <sheetFormatPr defaultColWidth="8.6640625" defaultRowHeight="14.4" x14ac:dyDescent="0.3"/>
  <cols>
    <col min="1" max="1" width="3" customWidth="1"/>
    <col min="2" max="2" width="20" customWidth="1"/>
    <col min="3" max="14" width="11" customWidth="1"/>
  </cols>
  <sheetData>
    <row r="2" spans="2:14" ht="24" customHeight="1" x14ac:dyDescent="0.3">
      <c r="B2" s="6" t="s">
        <v>270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2:14" x14ac:dyDescent="0.3">
      <c r="B4" s="5" t="s">
        <v>271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x14ac:dyDescent="0.3">
      <c r="B5" s="27" t="s">
        <v>272</v>
      </c>
      <c r="C5" s="27" t="s">
        <v>198</v>
      </c>
      <c r="D5" s="27" t="s">
        <v>199</v>
      </c>
      <c r="E5" s="27" t="s">
        <v>200</v>
      </c>
      <c r="F5" s="27" t="s">
        <v>201</v>
      </c>
      <c r="G5" s="27" t="s">
        <v>202</v>
      </c>
      <c r="H5" s="27" t="s">
        <v>203</v>
      </c>
      <c r="I5" s="27" t="s">
        <v>204</v>
      </c>
      <c r="J5" s="27" t="s">
        <v>205</v>
      </c>
      <c r="K5" s="27" t="s">
        <v>206</v>
      </c>
      <c r="L5" s="27" t="s">
        <v>207</v>
      </c>
      <c r="M5" s="27" t="s">
        <v>208</v>
      </c>
      <c r="N5" s="27" t="s">
        <v>209</v>
      </c>
    </row>
    <row r="6" spans="2:14" x14ac:dyDescent="0.3">
      <c r="B6" s="13" t="s">
        <v>273</v>
      </c>
      <c r="C6" s="52">
        <v>1</v>
      </c>
      <c r="D6" s="52">
        <f>C6*(1-'Subscription Model'!$F$8)</f>
        <v>0.9395</v>
      </c>
      <c r="E6" s="52">
        <f>D6*(1-'Subscription Model'!$F$8)</f>
        <v>0.88266025000000004</v>
      </c>
      <c r="F6" s="52">
        <f>E6*(1-'Subscription Model'!$F$8)</f>
        <v>0.82925930487499999</v>
      </c>
      <c r="G6" s="52">
        <f>F6*(1-'Subscription Model'!$F$8)</f>
        <v>0.77908911693006244</v>
      </c>
      <c r="H6" s="52">
        <f>G6*(1-'Subscription Model'!$F$8)</f>
        <v>0.73195422535579369</v>
      </c>
      <c r="I6" s="52">
        <f>H6*(1-'Subscription Model'!$F$8)</f>
        <v>0.68767099472176818</v>
      </c>
      <c r="J6" s="52">
        <f>I6*(1-'Subscription Model'!$F$8)</f>
        <v>0.64606689954110119</v>
      </c>
      <c r="K6" s="52">
        <f>J6*(1-'Subscription Model'!$F$8)</f>
        <v>0.60697985211886452</v>
      </c>
      <c r="L6" s="52">
        <f>K6*(1-'Subscription Model'!$F$8)</f>
        <v>0.57025757106567321</v>
      </c>
      <c r="M6" s="52">
        <f>L6*(1-'Subscription Model'!$F$8)</f>
        <v>0.53575698801619998</v>
      </c>
      <c r="N6" s="52">
        <f>M6*(1-'Subscription Model'!$F$8)</f>
        <v>0.50334369024121983</v>
      </c>
    </row>
    <row r="7" spans="2:14" x14ac:dyDescent="0.3">
      <c r="B7" s="13" t="s">
        <v>274</v>
      </c>
      <c r="C7" s="52"/>
      <c r="D7" s="52">
        <v>1</v>
      </c>
      <c r="E7" s="52">
        <f>D7*(1-'Subscription Model'!$F$8)</f>
        <v>0.9395</v>
      </c>
      <c r="F7" s="52">
        <f>E7*(1-'Subscription Model'!$F$8)</f>
        <v>0.88266025000000004</v>
      </c>
      <c r="G7" s="52">
        <f>F7*(1-'Subscription Model'!$F$8)</f>
        <v>0.82925930487499999</v>
      </c>
      <c r="H7" s="52">
        <f>G7*(1-'Subscription Model'!$F$8)</f>
        <v>0.77908911693006244</v>
      </c>
      <c r="I7" s="52">
        <f>H7*(1-'Subscription Model'!$F$8)</f>
        <v>0.73195422535579369</v>
      </c>
      <c r="J7" s="52">
        <f>I7*(1-'Subscription Model'!$F$8)</f>
        <v>0.68767099472176818</v>
      </c>
      <c r="K7" s="52">
        <f>J7*(1-'Subscription Model'!$F$8)</f>
        <v>0.64606689954110119</v>
      </c>
      <c r="L7" s="52">
        <f>K7*(1-'Subscription Model'!$F$8)</f>
        <v>0.60697985211886452</v>
      </c>
      <c r="M7" s="52">
        <f>L7*(1-'Subscription Model'!$F$8)</f>
        <v>0.57025757106567321</v>
      </c>
      <c r="N7" s="52">
        <f>M7*(1-'Subscription Model'!$F$8)</f>
        <v>0.53575698801619998</v>
      </c>
    </row>
    <row r="8" spans="2:14" x14ac:dyDescent="0.3">
      <c r="B8" s="13" t="s">
        <v>275</v>
      </c>
      <c r="C8" s="52"/>
      <c r="D8" s="52"/>
      <c r="E8" s="52">
        <v>1</v>
      </c>
      <c r="F8" s="52">
        <f>E8*(1-'Subscription Model'!$F$8)</f>
        <v>0.9395</v>
      </c>
      <c r="G8" s="52">
        <f>F8*(1-'Subscription Model'!$F$8)</f>
        <v>0.88266025000000004</v>
      </c>
      <c r="H8" s="52">
        <f>G8*(1-'Subscription Model'!$F$8)</f>
        <v>0.82925930487499999</v>
      </c>
      <c r="I8" s="52">
        <f>H8*(1-'Subscription Model'!$F$8)</f>
        <v>0.77908911693006244</v>
      </c>
      <c r="J8" s="52">
        <f>I8*(1-'Subscription Model'!$F$8)</f>
        <v>0.73195422535579369</v>
      </c>
      <c r="K8" s="52">
        <f>J8*(1-'Subscription Model'!$F$8)</f>
        <v>0.68767099472176818</v>
      </c>
      <c r="L8" s="52">
        <f>K8*(1-'Subscription Model'!$F$8)</f>
        <v>0.64606689954110119</v>
      </c>
      <c r="M8" s="52">
        <f>L8*(1-'Subscription Model'!$F$8)</f>
        <v>0.60697985211886452</v>
      </c>
      <c r="N8" s="52">
        <f>M8*(1-'Subscription Model'!$F$8)</f>
        <v>0.57025757106567321</v>
      </c>
    </row>
    <row r="9" spans="2:14" x14ac:dyDescent="0.3">
      <c r="B9" s="13" t="s">
        <v>276</v>
      </c>
      <c r="C9" s="52"/>
      <c r="D9" s="52"/>
      <c r="E9" s="52"/>
      <c r="F9" s="52">
        <v>1</v>
      </c>
      <c r="G9" s="52">
        <f>F9*(1-'Subscription Model'!$F$8)</f>
        <v>0.9395</v>
      </c>
      <c r="H9" s="52">
        <f>G9*(1-'Subscription Model'!$F$8)</f>
        <v>0.88266025000000004</v>
      </c>
      <c r="I9" s="52">
        <f>H9*(1-'Subscription Model'!$F$8)</f>
        <v>0.82925930487499999</v>
      </c>
      <c r="J9" s="52">
        <f>I9*(1-'Subscription Model'!$F$8)</f>
        <v>0.77908911693006244</v>
      </c>
      <c r="K9" s="52">
        <f>J9*(1-'Subscription Model'!$F$8)</f>
        <v>0.73195422535579369</v>
      </c>
      <c r="L9" s="52">
        <f>K9*(1-'Subscription Model'!$F$8)</f>
        <v>0.68767099472176818</v>
      </c>
      <c r="M9" s="52">
        <f>L9*(1-'Subscription Model'!$F$8)</f>
        <v>0.64606689954110119</v>
      </c>
      <c r="N9" s="52">
        <f>M9*(1-'Subscription Model'!$F$8)</f>
        <v>0.60697985211886452</v>
      </c>
    </row>
    <row r="10" spans="2:14" x14ac:dyDescent="0.3">
      <c r="B10" s="13" t="s">
        <v>277</v>
      </c>
      <c r="C10" s="52"/>
      <c r="D10" s="52"/>
      <c r="E10" s="52"/>
      <c r="F10" s="52"/>
      <c r="G10" s="52">
        <v>1</v>
      </c>
      <c r="H10" s="52">
        <f>G10*(1-'Subscription Model'!$F$8)</f>
        <v>0.9395</v>
      </c>
      <c r="I10" s="52">
        <f>H10*(1-'Subscription Model'!$F$8)</f>
        <v>0.88266025000000004</v>
      </c>
      <c r="J10" s="52">
        <f>I10*(1-'Subscription Model'!$F$8)</f>
        <v>0.82925930487499999</v>
      </c>
      <c r="K10" s="52">
        <f>J10*(1-'Subscription Model'!$F$8)</f>
        <v>0.77908911693006244</v>
      </c>
      <c r="L10" s="52">
        <f>K10*(1-'Subscription Model'!$F$8)</f>
        <v>0.73195422535579369</v>
      </c>
      <c r="M10" s="52">
        <f>L10*(1-'Subscription Model'!$F$8)</f>
        <v>0.68767099472176818</v>
      </c>
      <c r="N10" s="52">
        <f>M10*(1-'Subscription Model'!$F$8)</f>
        <v>0.64606689954110119</v>
      </c>
    </row>
    <row r="11" spans="2:14" x14ac:dyDescent="0.3">
      <c r="B11" s="13" t="s">
        <v>278</v>
      </c>
      <c r="C11" s="52"/>
      <c r="D11" s="52"/>
      <c r="E11" s="52"/>
      <c r="F11" s="52"/>
      <c r="G11" s="52"/>
      <c r="H11" s="52">
        <v>1</v>
      </c>
      <c r="I11" s="52">
        <f>H11*(1-'Subscription Model'!$F$8)</f>
        <v>0.9395</v>
      </c>
      <c r="J11" s="52">
        <f>I11*(1-'Subscription Model'!$F$8)</f>
        <v>0.88266025000000004</v>
      </c>
      <c r="K11" s="52">
        <f>J11*(1-'Subscription Model'!$F$8)</f>
        <v>0.82925930487499999</v>
      </c>
      <c r="L11" s="52">
        <f>K11*(1-'Subscription Model'!$F$8)</f>
        <v>0.77908911693006244</v>
      </c>
      <c r="M11" s="52">
        <f>L11*(1-'Subscription Model'!$F$8)</f>
        <v>0.73195422535579369</v>
      </c>
      <c r="N11" s="52">
        <f>M11*(1-'Subscription Model'!$F$8)</f>
        <v>0.68767099472176818</v>
      </c>
    </row>
    <row r="12" spans="2:14" x14ac:dyDescent="0.3">
      <c r="B12" s="13" t="s">
        <v>279</v>
      </c>
      <c r="C12" s="52"/>
      <c r="D12" s="52"/>
      <c r="E12" s="52"/>
      <c r="F12" s="52"/>
      <c r="G12" s="52"/>
      <c r="H12" s="52"/>
      <c r="I12" s="52">
        <v>1</v>
      </c>
      <c r="J12" s="52">
        <f>I12*(1-'Subscription Model'!$F$8)</f>
        <v>0.9395</v>
      </c>
      <c r="K12" s="52">
        <f>J12*(1-'Subscription Model'!$F$8)</f>
        <v>0.88266025000000004</v>
      </c>
      <c r="L12" s="52">
        <f>K12*(1-'Subscription Model'!$F$8)</f>
        <v>0.82925930487499999</v>
      </c>
      <c r="M12" s="52">
        <f>L12*(1-'Subscription Model'!$F$8)</f>
        <v>0.77908911693006244</v>
      </c>
      <c r="N12" s="52">
        <f>M12*(1-'Subscription Model'!$F$8)</f>
        <v>0.73195422535579369</v>
      </c>
    </row>
    <row r="13" spans="2:14" x14ac:dyDescent="0.3">
      <c r="B13" s="13" t="s">
        <v>280</v>
      </c>
      <c r="C13" s="52"/>
      <c r="D13" s="52"/>
      <c r="E13" s="52"/>
      <c r="F13" s="52"/>
      <c r="G13" s="52"/>
      <c r="H13" s="52"/>
      <c r="I13" s="52"/>
      <c r="J13" s="52">
        <v>1</v>
      </c>
      <c r="K13" s="52">
        <f>J13*(1-'Subscription Model'!$F$8)</f>
        <v>0.9395</v>
      </c>
      <c r="L13" s="52">
        <f>K13*(1-'Subscription Model'!$F$8)</f>
        <v>0.88266025000000004</v>
      </c>
      <c r="M13" s="52">
        <f>L13*(1-'Subscription Model'!$F$8)</f>
        <v>0.82925930487499999</v>
      </c>
      <c r="N13" s="52">
        <f>M13*(1-'Subscription Model'!$F$8)</f>
        <v>0.77908911693006244</v>
      </c>
    </row>
    <row r="14" spans="2:14" x14ac:dyDescent="0.3">
      <c r="B14" s="13" t="s">
        <v>281</v>
      </c>
      <c r="C14" s="52"/>
      <c r="D14" s="52"/>
      <c r="E14" s="52"/>
      <c r="F14" s="52"/>
      <c r="G14" s="52"/>
      <c r="H14" s="52"/>
      <c r="I14" s="52"/>
      <c r="J14" s="52"/>
      <c r="K14" s="52">
        <v>1</v>
      </c>
      <c r="L14" s="52">
        <f>K14*(1-'Subscription Model'!$F$8)</f>
        <v>0.9395</v>
      </c>
      <c r="M14" s="52">
        <f>L14*(1-'Subscription Model'!$F$8)</f>
        <v>0.88266025000000004</v>
      </c>
      <c r="N14" s="52">
        <f>M14*(1-'Subscription Model'!$F$8)</f>
        <v>0.82925930487499999</v>
      </c>
    </row>
    <row r="15" spans="2:14" x14ac:dyDescent="0.3">
      <c r="B15" s="13" t="s">
        <v>282</v>
      </c>
      <c r="C15" s="52"/>
      <c r="D15" s="52"/>
      <c r="E15" s="52"/>
      <c r="F15" s="52"/>
      <c r="G15" s="52"/>
      <c r="H15" s="52"/>
      <c r="I15" s="52"/>
      <c r="J15" s="52"/>
      <c r="K15" s="52"/>
      <c r="L15" s="52">
        <v>1</v>
      </c>
      <c r="M15" s="52">
        <f>L15*(1-'Subscription Model'!$F$8)</f>
        <v>0.9395</v>
      </c>
      <c r="N15" s="52">
        <f>M15*(1-'Subscription Model'!$F$8)</f>
        <v>0.88266025000000004</v>
      </c>
    </row>
    <row r="16" spans="2:14" x14ac:dyDescent="0.3">
      <c r="B16" s="13" t="s">
        <v>283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>
        <v>1</v>
      </c>
      <c r="N16" s="52">
        <f>M16*(1-'Subscription Model'!$F$8)</f>
        <v>0.9395</v>
      </c>
    </row>
    <row r="17" spans="2:14" x14ac:dyDescent="0.3">
      <c r="B17" s="13" t="s">
        <v>284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>
        <v>1</v>
      </c>
    </row>
    <row r="20" spans="2:14" x14ac:dyDescent="0.3">
      <c r="B20" s="3" t="s">
        <v>285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x14ac:dyDescent="0.3">
      <c r="B21" s="13" t="s">
        <v>269</v>
      </c>
      <c r="C21" s="34">
        <f>'Subscription Model'!F6</f>
        <v>18.489999999999998</v>
      </c>
    </row>
    <row r="22" spans="2:14" x14ac:dyDescent="0.3">
      <c r="B22" s="13" t="s">
        <v>286</v>
      </c>
      <c r="C22" s="42">
        <f>'Subscription Model'!F8</f>
        <v>6.0500000000000005E-2</v>
      </c>
    </row>
    <row r="23" spans="2:14" x14ac:dyDescent="0.3">
      <c r="B23" s="13" t="s">
        <v>287</v>
      </c>
      <c r="C23" s="35">
        <f>1/C22</f>
        <v>16.528925619834709</v>
      </c>
    </row>
    <row r="24" spans="2:14" x14ac:dyDescent="0.3">
      <c r="B24" s="13" t="s">
        <v>288</v>
      </c>
      <c r="C24" s="36">
        <f>C21*C23</f>
        <v>305.61983471074376</v>
      </c>
    </row>
    <row r="25" spans="2:14" x14ac:dyDescent="0.3">
      <c r="B25" s="13" t="s">
        <v>289</v>
      </c>
      <c r="C25" s="36">
        <f>C24*0.7</f>
        <v>213.93388429752062</v>
      </c>
    </row>
    <row r="26" spans="2:14" x14ac:dyDescent="0.3">
      <c r="B26" s="13" t="s">
        <v>171</v>
      </c>
      <c r="C26" s="34">
        <f>'CAC &amp; Channel Mix'!D11</f>
        <v>11.55</v>
      </c>
    </row>
    <row r="27" spans="2:14" x14ac:dyDescent="0.3">
      <c r="B27" s="13" t="s">
        <v>290</v>
      </c>
      <c r="C27" s="36">
        <f>C25-C26</f>
        <v>202.38388429752061</v>
      </c>
    </row>
    <row r="28" spans="2:14" x14ac:dyDescent="0.3">
      <c r="B28" s="13" t="s">
        <v>31</v>
      </c>
      <c r="C28" s="37">
        <f>C24/C26</f>
        <v>26.460591749847943</v>
      </c>
    </row>
  </sheetData>
  <mergeCells count="3">
    <mergeCell ref="B2:N2"/>
    <mergeCell ref="B4:N4"/>
    <mergeCell ref="B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9"/>
  <sheetViews>
    <sheetView zoomScaleNormal="100" workbookViewId="0">
      <selection activeCell="D30" sqref="D30"/>
    </sheetView>
  </sheetViews>
  <sheetFormatPr defaultColWidth="8.6640625" defaultRowHeight="14.4" x14ac:dyDescent="0.3"/>
  <cols>
    <col min="1" max="1" width="3" customWidth="1"/>
    <col min="2" max="2" width="35" customWidth="1"/>
    <col min="3" max="6" width="18" customWidth="1"/>
  </cols>
  <sheetData>
    <row r="2" spans="2:6" ht="24" customHeight="1" x14ac:dyDescent="0.3">
      <c r="B2" s="6" t="s">
        <v>291</v>
      </c>
      <c r="C2" s="6"/>
      <c r="D2" s="6"/>
      <c r="E2" s="6"/>
      <c r="F2" s="6"/>
    </row>
    <row r="4" spans="2:6" x14ac:dyDescent="0.3">
      <c r="B4" s="27" t="s">
        <v>292</v>
      </c>
      <c r="C4" s="27" t="s">
        <v>293</v>
      </c>
      <c r="D4" s="27" t="s">
        <v>294</v>
      </c>
      <c r="E4" s="27" t="s">
        <v>295</v>
      </c>
      <c r="F4" s="27" t="s">
        <v>254</v>
      </c>
    </row>
    <row r="5" spans="2:6" x14ac:dyDescent="0.3">
      <c r="B5" s="13" t="s">
        <v>112</v>
      </c>
      <c r="C5" s="14" t="s">
        <v>296</v>
      </c>
      <c r="D5" s="53" t="s">
        <v>297</v>
      </c>
      <c r="E5" s="14" t="s">
        <v>298</v>
      </c>
      <c r="F5" s="15" t="s">
        <v>299</v>
      </c>
    </row>
    <row r="6" spans="2:6" x14ac:dyDescent="0.3">
      <c r="B6" s="13" t="s">
        <v>300</v>
      </c>
      <c r="C6" s="14" t="s">
        <v>301</v>
      </c>
      <c r="D6" s="53" t="s">
        <v>302</v>
      </c>
      <c r="E6" s="14" t="s">
        <v>297</v>
      </c>
      <c r="F6" s="15" t="s">
        <v>303</v>
      </c>
    </row>
    <row r="7" spans="2:6" x14ac:dyDescent="0.3">
      <c r="B7" s="13" t="s">
        <v>286</v>
      </c>
      <c r="C7" s="14" t="s">
        <v>304</v>
      </c>
      <c r="D7" s="53" t="s">
        <v>305</v>
      </c>
      <c r="E7" s="14" t="s">
        <v>306</v>
      </c>
      <c r="F7" s="15" t="s">
        <v>307</v>
      </c>
    </row>
    <row r="8" spans="2:6" x14ac:dyDescent="0.3">
      <c r="B8" s="13" t="s">
        <v>308</v>
      </c>
      <c r="C8" s="14" t="s">
        <v>309</v>
      </c>
      <c r="D8" s="53" t="s">
        <v>310</v>
      </c>
      <c r="E8" s="14" t="s">
        <v>311</v>
      </c>
      <c r="F8" s="15" t="s">
        <v>312</v>
      </c>
    </row>
    <row r="9" spans="2:6" x14ac:dyDescent="0.3">
      <c r="B9" s="13" t="s">
        <v>171</v>
      </c>
      <c r="C9" s="14" t="s">
        <v>313</v>
      </c>
      <c r="D9" s="53" t="s">
        <v>26</v>
      </c>
      <c r="E9" s="14" t="s">
        <v>314</v>
      </c>
      <c r="F9" s="15" t="s">
        <v>315</v>
      </c>
    </row>
    <row r="10" spans="2:6" x14ac:dyDescent="0.3">
      <c r="B10" s="13" t="s">
        <v>316</v>
      </c>
      <c r="C10" s="14" t="s">
        <v>317</v>
      </c>
      <c r="D10" s="53" t="s">
        <v>318</v>
      </c>
      <c r="E10" s="14" t="s">
        <v>319</v>
      </c>
      <c r="F10" s="15" t="s">
        <v>320</v>
      </c>
    </row>
    <row r="12" spans="2:6" x14ac:dyDescent="0.3">
      <c r="B12" s="3" t="s">
        <v>321</v>
      </c>
      <c r="C12" s="3"/>
      <c r="D12" s="3"/>
      <c r="E12" s="3"/>
      <c r="F12" s="3"/>
    </row>
    <row r="13" spans="2:6" x14ac:dyDescent="0.3">
      <c r="B13" s="13" t="s">
        <v>322</v>
      </c>
      <c r="C13" s="54" t="s">
        <v>323</v>
      </c>
      <c r="D13" s="53" t="s">
        <v>14</v>
      </c>
      <c r="E13" s="14" t="s">
        <v>324</v>
      </c>
    </row>
    <row r="14" spans="2:6" x14ac:dyDescent="0.3">
      <c r="B14" s="13" t="s">
        <v>325</v>
      </c>
      <c r="C14" s="54" t="s">
        <v>326</v>
      </c>
      <c r="D14" s="53" t="s">
        <v>327</v>
      </c>
      <c r="E14" s="14" t="s">
        <v>328</v>
      </c>
    </row>
    <row r="15" spans="2:6" x14ac:dyDescent="0.3">
      <c r="B15" s="13" t="s">
        <v>329</v>
      </c>
      <c r="C15" s="54" t="s">
        <v>330</v>
      </c>
      <c r="D15" s="53" t="s">
        <v>331</v>
      </c>
      <c r="E15" s="14" t="s">
        <v>332</v>
      </c>
    </row>
    <row r="16" spans="2:6" x14ac:dyDescent="0.3">
      <c r="B16" s="13" t="s">
        <v>333</v>
      </c>
      <c r="C16" s="54" t="s">
        <v>334</v>
      </c>
      <c r="D16" s="53" t="s">
        <v>20</v>
      </c>
      <c r="E16" s="14" t="s">
        <v>335</v>
      </c>
    </row>
    <row r="17" spans="2:5" x14ac:dyDescent="0.3">
      <c r="B17" s="13" t="s">
        <v>37</v>
      </c>
      <c r="C17" s="54" t="s">
        <v>336</v>
      </c>
      <c r="D17" s="53" t="s">
        <v>38</v>
      </c>
      <c r="E17" s="14" t="s">
        <v>337</v>
      </c>
    </row>
    <row r="18" spans="2:5" x14ac:dyDescent="0.3">
      <c r="B18" s="13" t="s">
        <v>338</v>
      </c>
      <c r="C18" s="54" t="s">
        <v>339</v>
      </c>
      <c r="D18" s="53" t="s">
        <v>340</v>
      </c>
      <c r="E18" s="14" t="s">
        <v>341</v>
      </c>
    </row>
    <row r="19" spans="2:5" x14ac:dyDescent="0.3">
      <c r="B19" s="13" t="s">
        <v>342</v>
      </c>
      <c r="C19" s="54" t="s">
        <v>343</v>
      </c>
      <c r="D19" s="53" t="s">
        <v>41</v>
      </c>
      <c r="E19" s="14" t="s">
        <v>344</v>
      </c>
    </row>
  </sheetData>
  <mergeCells count="2">
    <mergeCell ref="B2:F2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21"/>
  <sheetViews>
    <sheetView zoomScaleNormal="100" workbookViewId="0">
      <selection activeCell="D6" sqref="D6"/>
    </sheetView>
  </sheetViews>
  <sheetFormatPr defaultColWidth="8.6640625" defaultRowHeight="14.4" x14ac:dyDescent="0.3"/>
  <cols>
    <col min="1" max="1" width="3" customWidth="1"/>
    <col min="2" max="2" width="32" customWidth="1"/>
    <col min="3" max="15" width="11" customWidth="1"/>
  </cols>
  <sheetData>
    <row r="2" spans="2:14" ht="24" customHeight="1" x14ac:dyDescent="0.3">
      <c r="B2" s="6" t="s">
        <v>345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2:14" x14ac:dyDescent="0.3">
      <c r="B4" s="3" t="s">
        <v>346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x14ac:dyDescent="0.3">
      <c r="B5" s="27" t="s">
        <v>347</v>
      </c>
      <c r="C5" s="27" t="s">
        <v>348</v>
      </c>
      <c r="D5" s="27" t="s">
        <v>349</v>
      </c>
      <c r="E5" s="27" t="s">
        <v>350</v>
      </c>
    </row>
    <row r="6" spans="2:14" x14ac:dyDescent="0.3">
      <c r="B6" s="13" t="s">
        <v>351</v>
      </c>
      <c r="C6" s="55">
        <v>35000</v>
      </c>
      <c r="D6" s="31">
        <f t="shared" ref="D6:D13" si="0">C6/$C$14</f>
        <v>0.26923076923076922</v>
      </c>
      <c r="E6" s="2" t="s">
        <v>352</v>
      </c>
      <c r="F6" s="2"/>
      <c r="G6" s="2"/>
      <c r="H6" s="2"/>
      <c r="I6" s="2"/>
      <c r="J6" s="2"/>
      <c r="K6" s="2"/>
      <c r="L6" s="2"/>
      <c r="M6" s="2"/>
      <c r="N6" s="2"/>
    </row>
    <row r="7" spans="2:14" x14ac:dyDescent="0.3">
      <c r="B7" s="13" t="s">
        <v>353</v>
      </c>
      <c r="C7" s="55">
        <v>12000</v>
      </c>
      <c r="D7" s="31">
        <f t="shared" si="0"/>
        <v>9.2307692307692313E-2</v>
      </c>
      <c r="E7" s="2" t="s">
        <v>354</v>
      </c>
      <c r="F7" s="2"/>
      <c r="G7" s="2"/>
      <c r="H7" s="2"/>
      <c r="I7" s="2"/>
      <c r="J7" s="2"/>
      <c r="K7" s="2"/>
      <c r="L7" s="2"/>
      <c r="M7" s="2"/>
      <c r="N7" s="2"/>
    </row>
    <row r="8" spans="2:14" x14ac:dyDescent="0.3">
      <c r="B8" s="13" t="s">
        <v>355</v>
      </c>
      <c r="C8" s="55">
        <v>25000</v>
      </c>
      <c r="D8" s="31">
        <f t="shared" si="0"/>
        <v>0.19230769230769232</v>
      </c>
      <c r="E8" s="2" t="s">
        <v>356</v>
      </c>
      <c r="F8" s="2"/>
      <c r="G8" s="2"/>
      <c r="H8" s="2"/>
      <c r="I8" s="2"/>
      <c r="J8" s="2"/>
      <c r="K8" s="2"/>
      <c r="L8" s="2"/>
      <c r="M8" s="2"/>
      <c r="N8" s="2"/>
    </row>
    <row r="9" spans="2:14" x14ac:dyDescent="0.3">
      <c r="B9" s="13" t="s">
        <v>357</v>
      </c>
      <c r="C9" s="55">
        <v>8000</v>
      </c>
      <c r="D9" s="31">
        <f t="shared" si="0"/>
        <v>6.1538461538461542E-2</v>
      </c>
      <c r="E9" s="2" t="s">
        <v>358</v>
      </c>
      <c r="F9" s="2"/>
      <c r="G9" s="2"/>
      <c r="H9" s="2"/>
      <c r="I9" s="2"/>
      <c r="J9" s="2"/>
      <c r="K9" s="2"/>
      <c r="L9" s="2"/>
      <c r="M9" s="2"/>
      <c r="N9" s="2"/>
    </row>
    <row r="10" spans="2:14" x14ac:dyDescent="0.3">
      <c r="B10" s="13" t="s">
        <v>359</v>
      </c>
      <c r="C10" s="55">
        <v>5000</v>
      </c>
      <c r="D10" s="31">
        <f t="shared" si="0"/>
        <v>3.8461538461538464E-2</v>
      </c>
      <c r="E10" s="2" t="s">
        <v>360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3">
      <c r="B11" s="13" t="s">
        <v>361</v>
      </c>
      <c r="C11" s="55">
        <v>0</v>
      </c>
      <c r="D11" s="31">
        <f t="shared" si="0"/>
        <v>0</v>
      </c>
      <c r="E11" s="2" t="s">
        <v>362</v>
      </c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3">
      <c r="B12" s="13" t="s">
        <v>363</v>
      </c>
      <c r="C12" s="55">
        <v>35000</v>
      </c>
      <c r="D12" s="31">
        <f t="shared" si="0"/>
        <v>0.26923076923076922</v>
      </c>
      <c r="E12" s="2" t="s">
        <v>364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3">
      <c r="B13" s="13" t="s">
        <v>365</v>
      </c>
      <c r="C13" s="55">
        <v>10000</v>
      </c>
      <c r="D13" s="31">
        <f t="shared" si="0"/>
        <v>7.6923076923076927E-2</v>
      </c>
      <c r="E13" s="2" t="s">
        <v>366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3">
      <c r="B14" s="56" t="s">
        <v>367</v>
      </c>
      <c r="C14" s="57">
        <f>SUM(C6:C13)</f>
        <v>130000</v>
      </c>
      <c r="D14" s="58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6" spans="2:14" x14ac:dyDescent="0.3">
      <c r="B16" s="3" t="s">
        <v>368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3">
      <c r="B17" s="27" t="s">
        <v>160</v>
      </c>
      <c r="C17" s="27" t="s">
        <v>198</v>
      </c>
      <c r="D17" s="27" t="s">
        <v>199</v>
      </c>
      <c r="E17" s="27" t="s">
        <v>200</v>
      </c>
      <c r="F17" s="27" t="s">
        <v>201</v>
      </c>
      <c r="G17" s="27" t="s">
        <v>202</v>
      </c>
      <c r="H17" s="27" t="s">
        <v>203</v>
      </c>
      <c r="I17" s="27" t="s">
        <v>204</v>
      </c>
      <c r="J17" s="27" t="s">
        <v>205</v>
      </c>
      <c r="K17" s="27" t="s">
        <v>206</v>
      </c>
      <c r="L17" s="27" t="s">
        <v>207</v>
      </c>
      <c r="M17" s="27" t="s">
        <v>208</v>
      </c>
      <c r="N17" s="27" t="s">
        <v>209</v>
      </c>
    </row>
    <row r="18" spans="2:14" x14ac:dyDescent="0.3">
      <c r="B18" s="17" t="s">
        <v>369</v>
      </c>
      <c r="C18" s="40">
        <f>C14</f>
        <v>130000</v>
      </c>
      <c r="D18" s="40">
        <f t="shared" ref="D18:N18" si="1">C21</f>
        <v>126822.69</v>
      </c>
      <c r="E18" s="40">
        <f t="shared" si="1"/>
        <v>129689.9495</v>
      </c>
      <c r="F18" s="40">
        <f t="shared" si="1"/>
        <v>133350.31363437499</v>
      </c>
      <c r="G18" s="40">
        <f t="shared" si="1"/>
        <v>137837.66900835937</v>
      </c>
      <c r="H18" s="40">
        <f t="shared" si="1"/>
        <v>143816.16785600831</v>
      </c>
      <c r="I18" s="40">
        <f t="shared" si="1"/>
        <v>146331.06089114933</v>
      </c>
      <c r="J18" s="40">
        <f t="shared" si="1"/>
        <v>149184.3564854851</v>
      </c>
      <c r="K18" s="40">
        <f t="shared" si="1"/>
        <v>152434.68473878305</v>
      </c>
      <c r="L18" s="40">
        <f t="shared" si="1"/>
        <v>156147.99167389708</v>
      </c>
      <c r="M18" s="40">
        <f t="shared" si="1"/>
        <v>160397.83575863249</v>
      </c>
      <c r="N18" s="40">
        <f t="shared" si="1"/>
        <v>165265.5564491257</v>
      </c>
    </row>
    <row r="19" spans="2:14" x14ac:dyDescent="0.3">
      <c r="B19" s="17" t="s">
        <v>370</v>
      </c>
      <c r="C19" s="40">
        <f>'Monthly P&amp;L'!C32</f>
        <v>1822.6900000000005</v>
      </c>
      <c r="D19" s="40">
        <f>'Monthly P&amp;L'!D32</f>
        <v>2867.2594999999992</v>
      </c>
      <c r="E19" s="40">
        <f>'Monthly P&amp;L'!E32</f>
        <v>3660.3641343749996</v>
      </c>
      <c r="F19" s="40">
        <f>'Monthly P&amp;L'!F32</f>
        <v>4487.3553739843746</v>
      </c>
      <c r="G19" s="40">
        <f>'Monthly P&amp;L'!G32</f>
        <v>5978.4988476489261</v>
      </c>
      <c r="H19" s="40">
        <f>'Monthly P&amp;L'!H32</f>
        <v>2514.8930351410218</v>
      </c>
      <c r="I19" s="40">
        <f>'Monthly P&amp;L'!I32</f>
        <v>2853.2955943357738</v>
      </c>
      <c r="J19" s="40">
        <f>'Monthly P&amp;L'!J32</f>
        <v>3250.3282532979356</v>
      </c>
      <c r="K19" s="40">
        <f>'Monthly P&amp;L'!K32</f>
        <v>3713.3069351140166</v>
      </c>
      <c r="L19" s="40">
        <f>'Monthly P&amp;L'!L32</f>
        <v>4249.8440847354177</v>
      </c>
      <c r="M19" s="40">
        <f>'Monthly P&amp;L'!M32</f>
        <v>4867.7206904931973</v>
      </c>
      <c r="N19" s="40">
        <f>'Monthly P&amp;L'!N32</f>
        <v>5574.7262608663932</v>
      </c>
    </row>
    <row r="20" spans="2:14" x14ac:dyDescent="0.3">
      <c r="B20" s="17" t="s">
        <v>371</v>
      </c>
      <c r="C20" s="40">
        <v>-5000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</row>
    <row r="21" spans="2:14" x14ac:dyDescent="0.3">
      <c r="B21" s="13" t="s">
        <v>372</v>
      </c>
      <c r="C21" s="33">
        <f t="shared" ref="C21:N21" si="2">C18+C19+C20</f>
        <v>126822.69</v>
      </c>
      <c r="D21" s="33">
        <f t="shared" si="2"/>
        <v>129689.9495</v>
      </c>
      <c r="E21" s="33">
        <f t="shared" si="2"/>
        <v>133350.31363437499</v>
      </c>
      <c r="F21" s="33">
        <f t="shared" si="2"/>
        <v>137837.66900835937</v>
      </c>
      <c r="G21" s="33">
        <f t="shared" si="2"/>
        <v>143816.16785600831</v>
      </c>
      <c r="H21" s="33">
        <f t="shared" si="2"/>
        <v>146331.06089114933</v>
      </c>
      <c r="I21" s="33">
        <f t="shared" si="2"/>
        <v>149184.3564854851</v>
      </c>
      <c r="J21" s="33">
        <f t="shared" si="2"/>
        <v>152434.68473878305</v>
      </c>
      <c r="K21" s="33">
        <f t="shared" si="2"/>
        <v>156147.99167389708</v>
      </c>
      <c r="L21" s="33">
        <f t="shared" si="2"/>
        <v>160397.83575863249</v>
      </c>
      <c r="M21" s="33">
        <f t="shared" si="2"/>
        <v>165265.5564491257</v>
      </c>
      <c r="N21" s="33">
        <f t="shared" si="2"/>
        <v>170840.28270999208</v>
      </c>
    </row>
  </sheetData>
  <mergeCells count="12">
    <mergeCell ref="E14:N14"/>
    <mergeCell ref="B16:N16"/>
    <mergeCell ref="E9:N9"/>
    <mergeCell ref="E10:N10"/>
    <mergeCell ref="E11:N11"/>
    <mergeCell ref="E12:N12"/>
    <mergeCell ref="E13:N13"/>
    <mergeCell ref="B2:N2"/>
    <mergeCell ref="B4:N4"/>
    <mergeCell ref="E6:N6"/>
    <mergeCell ref="E7:N7"/>
    <mergeCell ref="E8:N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Subscription Model</vt:lpstr>
      <vt:lpstr>Event Economics</vt:lpstr>
      <vt:lpstr>Monthly P&amp;L</vt:lpstr>
      <vt:lpstr>CAC &amp; Channel Mix</vt:lpstr>
      <vt:lpstr>Cohort Retention</vt:lpstr>
      <vt:lpstr>Scenarios</vt:lpstr>
      <vt:lpstr>Funding &amp; Runway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 C</cp:lastModifiedBy>
  <cp:revision>0</cp:revision>
  <dcterms:created xsi:type="dcterms:W3CDTF">2026-05-15T14:02:07Z</dcterms:created>
  <dcterms:modified xsi:type="dcterms:W3CDTF">2026-05-16T01:21:11Z</dcterms:modified>
  <dc:language>en-US</dc:language>
</cp:coreProperties>
</file>