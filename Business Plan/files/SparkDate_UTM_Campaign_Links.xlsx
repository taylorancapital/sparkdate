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enns\source\repos\sparkdate\"/>
    </mc:Choice>
  </mc:AlternateContent>
  <xr:revisionPtr revIDLastSave="0" documentId="13_ncr:1_{BEDCC565-65B1-4BD4-8761-735489F71EBB}" xr6:coauthVersionLast="47" xr6:coauthVersionMax="47" xr10:uidLastSave="{00000000-0000-0000-0000-000000000000}"/>
  <bookViews>
    <workbookView xWindow="-96" yWindow="-96" windowWidth="23232" windowHeight="13872" activeTab="2" xr2:uid="{00000000-000D-0000-FFFF-FFFF00000000}"/>
  </bookViews>
  <sheets>
    <sheet name="How to Use" sheetId="1" r:id="rId1"/>
    <sheet name="Campaign Links Event 3" sheetId="2" r:id="rId2"/>
    <sheet name="Campaign Links Event 3 Tellus36" sheetId="5" r:id="rId3"/>
    <sheet name="Campaign Links Event 3 Good" sheetId="3" r:id="rId4"/>
    <sheet name="Sheet2"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5" l="1"/>
  <c r="J20" i="5"/>
  <c r="J19" i="5"/>
  <c r="J18" i="5"/>
  <c r="J17" i="5"/>
  <c r="J16" i="5"/>
  <c r="J15" i="5"/>
  <c r="J14" i="5"/>
  <c r="E13" i="5"/>
  <c r="J13" i="5" s="1"/>
  <c r="E12" i="5"/>
  <c r="J12" i="5" s="1"/>
  <c r="J11" i="5"/>
  <c r="E11" i="5"/>
  <c r="E10" i="5"/>
  <c r="J10" i="5" s="1"/>
  <c r="J9" i="5"/>
  <c r="E9" i="5"/>
  <c r="E8" i="5"/>
  <c r="J8" i="5" s="1"/>
  <c r="E7" i="5"/>
  <c r="J7" i="5" s="1"/>
  <c r="J6" i="5"/>
  <c r="E6" i="5"/>
  <c r="J5" i="5"/>
  <c r="E5" i="5"/>
  <c r="J4" i="5"/>
  <c r="E4" i="5"/>
  <c r="J3" i="5"/>
  <c r="E3" i="5"/>
  <c r="J2" i="5"/>
  <c r="E2" i="5"/>
  <c r="J4" i="3"/>
  <c r="J5" i="3"/>
  <c r="J6" i="3"/>
  <c r="J7" i="3"/>
  <c r="J8" i="3"/>
  <c r="J9" i="3"/>
  <c r="J10" i="3"/>
  <c r="J11" i="3"/>
  <c r="J12" i="3"/>
  <c r="J13" i="3"/>
  <c r="E3" i="3"/>
  <c r="E4" i="3"/>
  <c r="E5" i="3"/>
  <c r="E6" i="3"/>
  <c r="E7" i="3"/>
  <c r="E8" i="3"/>
  <c r="E9" i="3"/>
  <c r="E10" i="3"/>
  <c r="E11" i="3"/>
  <c r="E12" i="3"/>
  <c r="E13" i="3"/>
  <c r="E2" i="3"/>
  <c r="J2" i="3" s="1"/>
  <c r="J21" i="3"/>
  <c r="J20" i="3"/>
  <c r="J19" i="3"/>
  <c r="J18" i="3"/>
  <c r="J17" i="3"/>
  <c r="J16" i="3"/>
  <c r="J15" i="3"/>
  <c r="J14" i="3"/>
  <c r="J3" i="3"/>
  <c r="J21" i="2"/>
  <c r="J20" i="2"/>
  <c r="J19" i="2"/>
  <c r="J18" i="2"/>
  <c r="J17" i="2"/>
  <c r="J16" i="2"/>
  <c r="J15" i="2"/>
  <c r="J14" i="2"/>
  <c r="J13" i="2"/>
  <c r="J12" i="2"/>
  <c r="J11" i="2"/>
  <c r="J10" i="2"/>
  <c r="J9" i="2"/>
  <c r="J8" i="2"/>
  <c r="J7" i="2"/>
  <c r="J6" i="2"/>
  <c r="J5" i="2"/>
  <c r="J4" i="2"/>
  <c r="J3" i="2"/>
  <c r="J2" i="2"/>
</calcChain>
</file>

<file path=xl/sharedStrings.xml><?xml version="1.0" encoding="utf-8"?>
<sst xmlns="http://schemas.openxmlformats.org/spreadsheetml/2006/main" count="356" uniqueCount="76">
  <si>
    <t>SparkDate — Concurrent-Event UTM Tracking Guide</t>
  </si>
  <si>
    <t>One landing page (/lp), routed per campaign to a specific event via ?eventId=</t>
  </si>
  <si>
    <t>The problem this solves</t>
  </si>
  <si>
    <t>Running two (or more) events at once used to mean the ad campaign for Event A and Event B both pointed at the same landing page, which only ever showed the single next upcoming event — so one campaign's clicks landed on the wrong event.</t>
  </si>
  <si>
    <t>The fix</t>
  </si>
  <si>
    <t>/lp now reads an ?eventId=&lt;id&gt; parameter. If present, the ticket CTA is pinned to that specific event (title, date, venue, price, checkout link). If absent, it falls back to the old behavior (next upcoming event). One page, no duplicate landing pages to maintain.</t>
  </si>
  <si>
    <t>Where eventId comes from</t>
  </si>
  <si>
    <t>The Firestore document ID for the event — visible in the admin dashboard (admin.html) event list/URL, or via the 'Event ID' shown on each event's row in the Event P&amp;L table.</t>
  </si>
  <si>
    <t>How to build a campaign URL</t>
  </si>
  <si>
    <t>Fill in a row on the 'Campaign Links' tab: Platform, Event Label, City, Event ID, utm_source, utm_medium, utm_campaign, and (optional) utm_content. Column J builds the full URL automatically — copy it straight into the ad platform's Destination URL / Final URL field.</t>
  </si>
  <si>
    <t>Naming convention — utm_campaign</t>
  </si>
  <si>
    <t>season+year_city, e.g. fall2026_philly or launch2026_cospgs. Keep one campaign name per marketing push, even if it runs across several platforms.</t>
  </si>
  <si>
    <t>Naming convention — utm_source</t>
  </si>
  <si>
    <t>The platform sending traffic: google, facebook, instagram, tiktok, email, organic_social. Lowercase, no spaces.</t>
  </si>
  <si>
    <t>Naming convention — utm_medium</t>
  </si>
  <si>
    <t>The channel type: cpc (paid search), paid_social, email, organic. This is what separates 'paid' from 'free' traffic in GA4's default channel grouping.</t>
  </si>
  <si>
    <t>Naming convention — utm_content</t>
  </si>
  <si>
    <t>Optional. Use it to A/B test ad creative or placement without creating a new campaign name, e.g. carousel_v1 vs static_v1, or feed vs story.</t>
  </si>
  <si>
    <t>What this unlocks in GA4</t>
  </si>
  <si>
    <t>Landing on /lp?eventId=... now fires a 'targeted_event_landing' GA4 event carrying the event_id as a parameter — so you can filter/segment GA4 reports by which specific event a visit (not just a click-through) was for, even before checkout. The 'begin_checkout' and 'next_event_fetch_failed' events also now carry event_id for the same reason.</t>
  </si>
  <si>
    <t>Referral (?ref=) and utm_* still work</t>
  </si>
  <si>
    <t>Any ref= or utm_* params on the /lp URL continue to carry through automatically into the /event checkout link, same as before — this sheet only adds eventId as a new, independent parameter.</t>
  </si>
  <si>
    <t>Example rows on 'Campaign Links'</t>
  </si>
  <si>
    <t>The two highlighted example rows are illustrative only (Philadelphia and the upcoming Colorado Springs launch) — replace the Event ID with the real Firestore doc ID before using a real link in a live campaign.</t>
  </si>
  <si>
    <t>Platform</t>
  </si>
  <si>
    <t>Event Label</t>
  </si>
  <si>
    <t>City</t>
  </si>
  <si>
    <t>Event ID (Firestore doc)</t>
  </si>
  <si>
    <t>utm_source</t>
  </si>
  <si>
    <t>utm_medium</t>
  </si>
  <si>
    <t>utm_campaign</t>
  </si>
  <si>
    <t>utm_content (optional)</t>
  </si>
  <si>
    <t>Base URL</t>
  </si>
  <si>
    <t>Full Campaign URL (auto)</t>
  </si>
  <si>
    <t>Notes</t>
  </si>
  <si>
    <t>Google Ads</t>
  </si>
  <si>
    <t>Philly Nov Mixer</t>
  </si>
  <si>
    <t>Philadelphia</t>
  </si>
  <si>
    <t>REPLACE_WITH_REAL_EVENT_ID</t>
  </si>
  <si>
    <t>google</t>
  </si>
  <si>
    <t>cpc</t>
  </si>
  <si>
    <t>fall2026_philly</t>
  </si>
  <si>
    <t>search_rsa1</t>
  </si>
  <si>
    <t>https://sparkdate.date/lp</t>
  </si>
  <si>
    <t>EXAMPLE — replace Event ID before real use</t>
  </si>
  <si>
    <t>Meta Ads</t>
  </si>
  <si>
    <t>Colorado Springs Launch Mixer</t>
  </si>
  <si>
    <t>Colorado Springs</t>
  </si>
  <si>
    <t>facebook</t>
  </si>
  <si>
    <t>paid_social</t>
  </si>
  <si>
    <t>launch2026_cospgs</t>
  </si>
  <si>
    <t>carousel_v1</t>
  </si>
  <si>
    <t>HwXXG8HPLMLwaoBoNdXk</t>
  </si>
  <si>
    <t>Source</t>
  </si>
  <si>
    <t>TikTok</t>
  </si>
  <si>
    <t>Reddit</t>
  </si>
  <si>
    <t>Instagram</t>
  </si>
  <si>
    <t>Pinterest</t>
  </si>
  <si>
    <t>Facebook</t>
  </si>
  <si>
    <t>X / Twitter</t>
  </si>
  <si>
    <t>Email</t>
  </si>
  <si>
    <t>Patch.com</t>
  </si>
  <si>
    <t>Eventbrite</t>
  </si>
  <si>
    <t>Flyers</t>
  </si>
  <si>
    <t>Google Business Posting</t>
  </si>
  <si>
    <t>Good Good Nights</t>
  </si>
  <si>
    <t>organic</t>
  </si>
  <si>
    <t>referral</t>
  </si>
  <si>
    <t>Augweek1_philly</t>
  </si>
  <si>
    <t>proof_rsa1</t>
  </si>
  <si>
    <t>EXAMPLE — replace Event ID before real use &amp; Update the paid social campaign</t>
  </si>
  <si>
    <t>8E9WZTat32JyoUjWuIE7</t>
  </si>
  <si>
    <t>Augweek3_philly</t>
  </si>
  <si>
    <t>Tellus AfterDark: Singles Edition</t>
  </si>
  <si>
    <t>Lancaster</t>
  </si>
  <si>
    <t>Augweek2_lancaster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</si>
</sst>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0A0E27"/>
      <name val="Arial"/>
      <family val="2"/>
    </font>
    <font>
      <i/>
      <sz val="10"/>
      <color rgb="FF666666"/>
      <name val="Arial"/>
      <family val="2"/>
    </font>
    <font>
      <b/>
      <sz val="10"/>
      <color rgb="FF0A0E27"/>
      <name val="Arial"/>
      <family val="2"/>
    </font>
    <font>
      <sz val="10"/>
      <color rgb="FF000000"/>
      <name val="Arial"/>
      <family val="2"/>
    </font>
    <font>
      <b/>
      <sz val="11"/>
      <color rgb="FFFFFFFF"/>
      <name val="Arial"/>
      <family val="2"/>
    </font>
    <font>
      <i/>
      <sz val="9"/>
      <color rgb="FF666666"/>
      <name val="Arial"/>
      <family val="2"/>
    </font>
    <font>
      <sz val="10"/>
      <color theme="1"/>
      <name val="Calibri"/>
      <family val="2"/>
      <scheme val="minor"/>
    </font>
    <font>
      <sz val="10"/>
      <color rgb="FF0A0A0A"/>
      <name val="Segoe UI"/>
      <family val="2"/>
    </font>
  </fonts>
  <fills count="5">
    <fill>
      <patternFill patternType="none"/>
    </fill>
    <fill>
      <patternFill patternType="gray125"/>
    </fill>
    <fill>
      <patternFill patternType="solid">
        <fgColor rgb="FF0A0E27"/>
      </patternFill>
    </fill>
    <fill>
      <patternFill patternType="solid">
        <fgColor rgb="FFFFFDE7"/>
      </patternFill>
    </fill>
    <fill>
      <patternFill patternType="solid">
        <fgColor rgb="FFFDFDFC"/>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style="thin">
        <color indexed="64"/>
      </bottom>
      <diagonal/>
    </border>
  </borders>
  <cellStyleXfs count="1">
    <xf numFmtId="0" fontId="0" fillId="0" borderId="0"/>
  </cellStyleXfs>
  <cellXfs count="12">
    <xf numFmtId="0" fontId="0" fillId="0" borderId="0" xfId="0"/>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6" fillId="3" borderId="1" xfId="0" applyFont="1" applyFill="1" applyBorder="1" applyAlignment="1">
      <alignment vertical="center" wrapText="1"/>
    </xf>
    <xf numFmtId="0" fontId="4" fillId="0" borderId="1" xfId="0" applyFont="1" applyBorder="1" applyAlignment="1">
      <alignment vertical="center" wrapText="1"/>
    </xf>
    <xf numFmtId="0" fontId="7" fillId="0" borderId="2" xfId="0" applyFont="1" applyBorder="1"/>
    <xf numFmtId="0" fontId="8" fillId="4" borderId="0" xfId="0" applyFont="1" applyFill="1" applyAlignment="1">
      <alignment horizontal="left" vertical="top"/>
    </xf>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5"/>
  <sheetViews>
    <sheetView showGridLines="0" workbookViewId="0"/>
  </sheetViews>
  <sheetFormatPr defaultRowHeight="14.4" x14ac:dyDescent="0.3"/>
  <cols>
    <col min="1" max="1" width="4" customWidth="1"/>
    <col min="2" max="2" width="34" customWidth="1"/>
    <col min="3" max="3" width="90" customWidth="1"/>
  </cols>
  <sheetData>
    <row r="2" spans="2:3" ht="21" x14ac:dyDescent="0.4">
      <c r="B2" s="1" t="s">
        <v>0</v>
      </c>
    </row>
    <row r="3" spans="2:3" x14ac:dyDescent="0.3">
      <c r="B3" s="10" t="s">
        <v>1</v>
      </c>
      <c r="C3" s="11"/>
    </row>
    <row r="5" spans="2:3" ht="46.05" customHeight="1" x14ac:dyDescent="0.3">
      <c r="B5" s="2" t="s">
        <v>2</v>
      </c>
      <c r="C5" s="3" t="s">
        <v>3</v>
      </c>
    </row>
    <row r="6" spans="2:3" ht="46.05" customHeight="1" x14ac:dyDescent="0.3">
      <c r="B6" s="2" t="s">
        <v>4</v>
      </c>
      <c r="C6" s="3" t="s">
        <v>5</v>
      </c>
    </row>
    <row r="7" spans="2:3" ht="46.05" customHeight="1" x14ac:dyDescent="0.3">
      <c r="B7" s="2" t="s">
        <v>6</v>
      </c>
      <c r="C7" s="3" t="s">
        <v>7</v>
      </c>
    </row>
    <row r="8" spans="2:3" ht="46.05" customHeight="1" x14ac:dyDescent="0.3">
      <c r="B8" s="2" t="s">
        <v>8</v>
      </c>
      <c r="C8" s="3" t="s">
        <v>9</v>
      </c>
    </row>
    <row r="9" spans="2:3" ht="46.05" customHeight="1" x14ac:dyDescent="0.3">
      <c r="B9" s="2" t="s">
        <v>10</v>
      </c>
      <c r="C9" s="3" t="s">
        <v>11</v>
      </c>
    </row>
    <row r="10" spans="2:3" ht="46.05" customHeight="1" x14ac:dyDescent="0.3">
      <c r="B10" s="2" t="s">
        <v>12</v>
      </c>
      <c r="C10" s="3" t="s">
        <v>13</v>
      </c>
    </row>
    <row r="11" spans="2:3" ht="46.05" customHeight="1" x14ac:dyDescent="0.3">
      <c r="B11" s="2" t="s">
        <v>14</v>
      </c>
      <c r="C11" s="3" t="s">
        <v>15</v>
      </c>
    </row>
    <row r="12" spans="2:3" ht="46.05" customHeight="1" x14ac:dyDescent="0.3">
      <c r="B12" s="2" t="s">
        <v>16</v>
      </c>
      <c r="C12" s="3" t="s">
        <v>17</v>
      </c>
    </row>
    <row r="13" spans="2:3" ht="46.05" customHeight="1" x14ac:dyDescent="0.3">
      <c r="B13" s="2" t="s">
        <v>18</v>
      </c>
      <c r="C13" s="3" t="s">
        <v>19</v>
      </c>
    </row>
    <row r="14" spans="2:3" ht="46.05" customHeight="1" x14ac:dyDescent="0.3">
      <c r="B14" s="2" t="s">
        <v>20</v>
      </c>
      <c r="C14" s="3" t="s">
        <v>21</v>
      </c>
    </row>
    <row r="15" spans="2:3" ht="46.05" customHeight="1" x14ac:dyDescent="0.3">
      <c r="B15" s="2" t="s">
        <v>22</v>
      </c>
      <c r="C15" s="3" t="s">
        <v>23</v>
      </c>
    </row>
  </sheetData>
  <mergeCells count="1">
    <mergeCell ref="B3:C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
  <sheetViews>
    <sheetView showGridLines="0" workbookViewId="0">
      <pane ySplit="1" topLeftCell="A2" activePane="bottomLeft" state="frozen"/>
      <selection pane="bottomLeft" activeCell="A2" sqref="A2"/>
    </sheetView>
  </sheetViews>
  <sheetFormatPr defaultRowHeight="14.4" x14ac:dyDescent="0.3"/>
  <cols>
    <col min="1" max="1" width="14" customWidth="1"/>
    <col min="2" max="2" width="26" customWidth="1"/>
    <col min="3" max="3" width="16" customWidth="1"/>
    <col min="4" max="4" width="24" customWidth="1"/>
    <col min="5" max="6" width="14" customWidth="1"/>
    <col min="7" max="8" width="20" customWidth="1"/>
    <col min="9" max="9" width="26" customWidth="1"/>
    <col min="10" max="10" width="70" customWidth="1"/>
    <col min="11" max="11" width="30" customWidth="1"/>
  </cols>
  <sheetData>
    <row r="1" spans="1:11" ht="31.95" customHeight="1" x14ac:dyDescent="0.3">
      <c r="A1" s="4" t="s">
        <v>24</v>
      </c>
      <c r="B1" s="4" t="s">
        <v>25</v>
      </c>
      <c r="C1" s="4" t="s">
        <v>26</v>
      </c>
      <c r="D1" s="4" t="s">
        <v>27</v>
      </c>
      <c r="E1" s="4" t="s">
        <v>28</v>
      </c>
      <c r="F1" s="4" t="s">
        <v>29</v>
      </c>
      <c r="G1" s="4" t="s">
        <v>30</v>
      </c>
      <c r="H1" s="4" t="s">
        <v>31</v>
      </c>
      <c r="I1" s="4" t="s">
        <v>32</v>
      </c>
      <c r="J1" s="4" t="s">
        <v>33</v>
      </c>
      <c r="K1" s="4" t="s">
        <v>34</v>
      </c>
    </row>
    <row r="2" spans="1:11" ht="30" customHeight="1" x14ac:dyDescent="0.3">
      <c r="A2" s="5" t="s">
        <v>35</v>
      </c>
      <c r="B2" s="5" t="s">
        <v>36</v>
      </c>
      <c r="C2" s="5" t="s">
        <v>37</v>
      </c>
      <c r="D2" s="5" t="s">
        <v>38</v>
      </c>
      <c r="E2" s="5" t="s">
        <v>39</v>
      </c>
      <c r="F2" s="5" t="s">
        <v>40</v>
      </c>
      <c r="G2" s="5" t="s">
        <v>41</v>
      </c>
      <c r="H2" s="5" t="s">
        <v>42</v>
      </c>
      <c r="I2" s="5" t="s">
        <v>43</v>
      </c>
      <c r="J2" s="5" t="str">
        <f t="shared" ref="J2:J21" si="0">I2&amp;"?eventId="&amp;D2&amp;"&amp;utm_source="&amp;E2&amp;"&amp;utm_medium="&amp;F2&amp;"&amp;utm_campaign="&amp;G2&amp;IF(H2&lt;&gt;"","&amp;utm_content="&amp;H2,"")</f>
        <v>https://sparkdate.date/lp?eventId=REPLACE_WITH_REAL_EVENT_ID&amp;utm_source=google&amp;utm_medium=cpc&amp;utm_campaign=fall2026_philly&amp;utm_content=search_rsa1</v>
      </c>
      <c r="K2" s="6" t="s">
        <v>44</v>
      </c>
    </row>
    <row r="3" spans="1:11" ht="30" customHeight="1" x14ac:dyDescent="0.3">
      <c r="A3" s="5" t="s">
        <v>45</v>
      </c>
      <c r="B3" s="5" t="s">
        <v>46</v>
      </c>
      <c r="C3" s="5" t="s">
        <v>47</v>
      </c>
      <c r="D3" s="5" t="s">
        <v>38</v>
      </c>
      <c r="E3" s="5" t="s">
        <v>48</v>
      </c>
      <c r="F3" s="5" t="s">
        <v>49</v>
      </c>
      <c r="G3" s="5" t="s">
        <v>50</v>
      </c>
      <c r="H3" s="5" t="s">
        <v>51</v>
      </c>
      <c r="I3" s="5" t="s">
        <v>43</v>
      </c>
      <c r="J3" s="5" t="str">
        <f t="shared" si="0"/>
        <v>https://sparkdate.date/lp?eventId=REPLACE_WITH_REAL_EVENT_ID&amp;utm_source=facebook&amp;utm_medium=paid_social&amp;utm_campaign=launch2026_cospgs&amp;utm_content=carousel_v1</v>
      </c>
      <c r="K3" s="6" t="s">
        <v>44</v>
      </c>
    </row>
    <row r="4" spans="1:11" ht="22.05" customHeight="1" x14ac:dyDescent="0.3">
      <c r="A4" s="7"/>
      <c r="B4" s="7"/>
      <c r="C4" s="7"/>
      <c r="D4" s="7"/>
      <c r="E4" s="7"/>
      <c r="F4" s="7"/>
      <c r="G4" s="7"/>
      <c r="H4" s="7"/>
      <c r="I4" s="7" t="s">
        <v>43</v>
      </c>
      <c r="J4" s="7" t="str">
        <f t="shared" si="0"/>
        <v>https://sparkdate.date/lp?eventId=&amp;utm_source=&amp;utm_medium=&amp;utm_campaign=</v>
      </c>
      <c r="K4" s="7"/>
    </row>
    <row r="5" spans="1:11" ht="22.05" customHeight="1" x14ac:dyDescent="0.3">
      <c r="A5" s="7"/>
      <c r="B5" s="7"/>
      <c r="C5" s="7"/>
      <c r="D5" s="7"/>
      <c r="E5" s="7"/>
      <c r="F5" s="7"/>
      <c r="G5" s="7"/>
      <c r="H5" s="7"/>
      <c r="I5" s="7" t="s">
        <v>43</v>
      </c>
      <c r="J5" s="7" t="str">
        <f t="shared" si="0"/>
        <v>https://sparkdate.date/lp?eventId=&amp;utm_source=&amp;utm_medium=&amp;utm_campaign=</v>
      </c>
      <c r="K5" s="7"/>
    </row>
    <row r="6" spans="1:11" ht="22.05" customHeight="1" x14ac:dyDescent="0.3">
      <c r="A6" s="7"/>
      <c r="B6" s="7"/>
      <c r="C6" s="7"/>
      <c r="D6" s="7"/>
      <c r="E6" s="7"/>
      <c r="F6" s="7"/>
      <c r="G6" s="7"/>
      <c r="H6" s="7"/>
      <c r="I6" s="7" t="s">
        <v>43</v>
      </c>
      <c r="J6" s="7" t="str">
        <f t="shared" si="0"/>
        <v>https://sparkdate.date/lp?eventId=&amp;utm_source=&amp;utm_medium=&amp;utm_campaign=</v>
      </c>
      <c r="K6" s="7"/>
    </row>
    <row r="7" spans="1:11" ht="22.05" customHeight="1" x14ac:dyDescent="0.3">
      <c r="A7" s="7"/>
      <c r="B7" s="7"/>
      <c r="C7" s="7"/>
      <c r="D7" s="7"/>
      <c r="E7" s="7"/>
      <c r="F7" s="7"/>
      <c r="G7" s="7"/>
      <c r="H7" s="7"/>
      <c r="I7" s="7" t="s">
        <v>43</v>
      </c>
      <c r="J7" s="7" t="str">
        <f t="shared" si="0"/>
        <v>https://sparkdate.date/lp?eventId=&amp;utm_source=&amp;utm_medium=&amp;utm_campaign=</v>
      </c>
      <c r="K7" s="7"/>
    </row>
    <row r="8" spans="1:11" ht="22.05" customHeight="1" x14ac:dyDescent="0.3">
      <c r="A8" s="7"/>
      <c r="B8" s="7"/>
      <c r="C8" s="7"/>
      <c r="D8" s="7"/>
      <c r="E8" s="7"/>
      <c r="F8" s="7"/>
      <c r="G8" s="7"/>
      <c r="H8" s="7"/>
      <c r="I8" s="7" t="s">
        <v>43</v>
      </c>
      <c r="J8" s="7" t="str">
        <f t="shared" si="0"/>
        <v>https://sparkdate.date/lp?eventId=&amp;utm_source=&amp;utm_medium=&amp;utm_campaign=</v>
      </c>
      <c r="K8" s="7"/>
    </row>
    <row r="9" spans="1:11" ht="22.05" customHeight="1" x14ac:dyDescent="0.3">
      <c r="A9" s="7"/>
      <c r="B9" s="7"/>
      <c r="C9" s="7"/>
      <c r="D9" s="7"/>
      <c r="E9" s="7"/>
      <c r="F9" s="7"/>
      <c r="G9" s="7"/>
      <c r="H9" s="7"/>
      <c r="I9" s="7" t="s">
        <v>43</v>
      </c>
      <c r="J9" s="7" t="str">
        <f t="shared" si="0"/>
        <v>https://sparkdate.date/lp?eventId=&amp;utm_source=&amp;utm_medium=&amp;utm_campaign=</v>
      </c>
      <c r="K9" s="7"/>
    </row>
    <row r="10" spans="1:11" ht="22.05" customHeight="1" x14ac:dyDescent="0.3">
      <c r="A10" s="7"/>
      <c r="B10" s="7"/>
      <c r="C10" s="7"/>
      <c r="D10" s="7"/>
      <c r="E10" s="7"/>
      <c r="F10" s="7"/>
      <c r="G10" s="7"/>
      <c r="H10" s="7"/>
      <c r="I10" s="7" t="s">
        <v>43</v>
      </c>
      <c r="J10" s="7" t="str">
        <f t="shared" si="0"/>
        <v>https://sparkdate.date/lp?eventId=&amp;utm_source=&amp;utm_medium=&amp;utm_campaign=</v>
      </c>
      <c r="K10" s="7"/>
    </row>
    <row r="11" spans="1:11" ht="22.05" customHeight="1" x14ac:dyDescent="0.3">
      <c r="A11" s="7"/>
      <c r="B11" s="7"/>
      <c r="C11" s="7"/>
      <c r="D11" s="7"/>
      <c r="E11" s="7"/>
      <c r="F11" s="7"/>
      <c r="G11" s="7"/>
      <c r="H11" s="7"/>
      <c r="I11" s="7" t="s">
        <v>43</v>
      </c>
      <c r="J11" s="7" t="str">
        <f t="shared" si="0"/>
        <v>https://sparkdate.date/lp?eventId=&amp;utm_source=&amp;utm_medium=&amp;utm_campaign=</v>
      </c>
      <c r="K11" s="7"/>
    </row>
    <row r="12" spans="1:11" ht="22.05" customHeight="1" x14ac:dyDescent="0.3">
      <c r="A12" s="7"/>
      <c r="B12" s="7"/>
      <c r="C12" s="7"/>
      <c r="D12" s="7"/>
      <c r="E12" s="7"/>
      <c r="F12" s="7"/>
      <c r="G12" s="7"/>
      <c r="H12" s="7"/>
      <c r="I12" s="7" t="s">
        <v>43</v>
      </c>
      <c r="J12" s="7" t="str">
        <f t="shared" si="0"/>
        <v>https://sparkdate.date/lp?eventId=&amp;utm_source=&amp;utm_medium=&amp;utm_campaign=</v>
      </c>
      <c r="K12" s="7"/>
    </row>
    <row r="13" spans="1:11" ht="22.05" customHeight="1" x14ac:dyDescent="0.3">
      <c r="A13" s="7"/>
      <c r="B13" s="7"/>
      <c r="C13" s="7"/>
      <c r="D13" s="7"/>
      <c r="E13" s="7"/>
      <c r="F13" s="7"/>
      <c r="G13" s="7"/>
      <c r="H13" s="7"/>
      <c r="I13" s="7" t="s">
        <v>43</v>
      </c>
      <c r="J13" s="7" t="str">
        <f t="shared" si="0"/>
        <v>https://sparkdate.date/lp?eventId=&amp;utm_source=&amp;utm_medium=&amp;utm_campaign=</v>
      </c>
      <c r="K13" s="7"/>
    </row>
    <row r="14" spans="1:11" ht="22.05" customHeight="1" x14ac:dyDescent="0.3">
      <c r="A14" s="7"/>
      <c r="B14" s="7"/>
      <c r="C14" s="7"/>
      <c r="D14" s="7"/>
      <c r="E14" s="7"/>
      <c r="F14" s="7"/>
      <c r="G14" s="7"/>
      <c r="H14" s="7"/>
      <c r="I14" s="7" t="s">
        <v>43</v>
      </c>
      <c r="J14" s="7" t="str">
        <f t="shared" si="0"/>
        <v>https://sparkdate.date/lp?eventId=&amp;utm_source=&amp;utm_medium=&amp;utm_campaign=</v>
      </c>
      <c r="K14" s="7"/>
    </row>
    <row r="15" spans="1:11" ht="22.05" customHeight="1" x14ac:dyDescent="0.3">
      <c r="A15" s="7"/>
      <c r="B15" s="7"/>
      <c r="C15" s="7"/>
      <c r="D15" s="7"/>
      <c r="E15" s="7"/>
      <c r="F15" s="7"/>
      <c r="G15" s="7"/>
      <c r="H15" s="7"/>
      <c r="I15" s="7" t="s">
        <v>43</v>
      </c>
      <c r="J15" s="7" t="str">
        <f t="shared" si="0"/>
        <v>https://sparkdate.date/lp?eventId=&amp;utm_source=&amp;utm_medium=&amp;utm_campaign=</v>
      </c>
      <c r="K15" s="7"/>
    </row>
    <row r="16" spans="1:11" ht="22.05" customHeight="1" x14ac:dyDescent="0.3">
      <c r="A16" s="7"/>
      <c r="B16" s="7"/>
      <c r="C16" s="7"/>
      <c r="D16" s="7"/>
      <c r="E16" s="7"/>
      <c r="F16" s="7"/>
      <c r="G16" s="7"/>
      <c r="H16" s="7"/>
      <c r="I16" s="7" t="s">
        <v>43</v>
      </c>
      <c r="J16" s="7" t="str">
        <f t="shared" si="0"/>
        <v>https://sparkdate.date/lp?eventId=&amp;utm_source=&amp;utm_medium=&amp;utm_campaign=</v>
      </c>
      <c r="K16" s="7"/>
    </row>
    <row r="17" spans="1:11" ht="22.05" customHeight="1" x14ac:dyDescent="0.3">
      <c r="A17" s="7"/>
      <c r="B17" s="7"/>
      <c r="C17" s="7"/>
      <c r="D17" s="7"/>
      <c r="E17" s="7"/>
      <c r="F17" s="7"/>
      <c r="G17" s="7"/>
      <c r="H17" s="7"/>
      <c r="I17" s="7" t="s">
        <v>43</v>
      </c>
      <c r="J17" s="7" t="str">
        <f t="shared" si="0"/>
        <v>https://sparkdate.date/lp?eventId=&amp;utm_source=&amp;utm_medium=&amp;utm_campaign=</v>
      </c>
      <c r="K17" s="7"/>
    </row>
    <row r="18" spans="1:11" ht="22.05" customHeight="1" x14ac:dyDescent="0.3">
      <c r="A18" s="7"/>
      <c r="B18" s="7"/>
      <c r="C18" s="7"/>
      <c r="D18" s="7"/>
      <c r="E18" s="7"/>
      <c r="F18" s="7"/>
      <c r="G18" s="7"/>
      <c r="H18" s="7"/>
      <c r="I18" s="7" t="s">
        <v>43</v>
      </c>
      <c r="J18" s="7" t="str">
        <f t="shared" si="0"/>
        <v>https://sparkdate.date/lp?eventId=&amp;utm_source=&amp;utm_medium=&amp;utm_campaign=</v>
      </c>
      <c r="K18" s="7"/>
    </row>
    <row r="19" spans="1:11" ht="22.05" customHeight="1" x14ac:dyDescent="0.3">
      <c r="A19" s="7"/>
      <c r="B19" s="7"/>
      <c r="C19" s="7"/>
      <c r="D19" s="7"/>
      <c r="E19" s="7"/>
      <c r="F19" s="7"/>
      <c r="G19" s="7"/>
      <c r="H19" s="7"/>
      <c r="I19" s="7" t="s">
        <v>43</v>
      </c>
      <c r="J19" s="7" t="str">
        <f t="shared" si="0"/>
        <v>https://sparkdate.date/lp?eventId=&amp;utm_source=&amp;utm_medium=&amp;utm_campaign=</v>
      </c>
      <c r="K19" s="7"/>
    </row>
    <row r="20" spans="1:11" ht="22.05" customHeight="1" x14ac:dyDescent="0.3">
      <c r="A20" s="7"/>
      <c r="B20" s="7"/>
      <c r="C20" s="7"/>
      <c r="D20" s="7"/>
      <c r="E20" s="7"/>
      <c r="F20" s="7"/>
      <c r="G20" s="7"/>
      <c r="H20" s="7"/>
      <c r="I20" s="7" t="s">
        <v>43</v>
      </c>
      <c r="J20" s="7" t="str">
        <f t="shared" si="0"/>
        <v>https://sparkdate.date/lp?eventId=&amp;utm_source=&amp;utm_medium=&amp;utm_campaign=</v>
      </c>
      <c r="K20" s="7"/>
    </row>
    <row r="21" spans="1:11" ht="22.05" customHeight="1" x14ac:dyDescent="0.3">
      <c r="A21" s="7"/>
      <c r="B21" s="7"/>
      <c r="C21" s="7"/>
      <c r="D21" s="7"/>
      <c r="E21" s="7"/>
      <c r="F21" s="7"/>
      <c r="G21" s="7"/>
      <c r="H21" s="7"/>
      <c r="I21" s="7" t="s">
        <v>43</v>
      </c>
      <c r="J21" s="7" t="str">
        <f t="shared" si="0"/>
        <v>https://sparkdate.date/lp?eventId=&amp;utm_source=&amp;utm_medium=&amp;utm_campaign=</v>
      </c>
      <c r="K21" s="7"/>
    </row>
  </sheetData>
  <dataValidations count="2">
    <dataValidation type="list" errorStyle="warning" allowBlank="1" error="Pick a platform from the list, or type your own." sqref="A3:A21" xr:uid="{00000000-0002-0000-0100-000000000000}">
      <formula1>"Google Ads,Meta Ads,TikTok Ads,Email,Organic Social,Other"</formula1>
    </dataValidation>
    <dataValidation type="list" errorStyle="warning" allowBlank="1" sqref="F2:F21" xr:uid="{00000000-0002-0000-0100-000001000000}">
      <formula1>"cpc,paid_social,email,organic,referral"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errorStyle="warning" allowBlank="1" error="Pick a platform from the list, or type your own." xr:uid="{8F3748CE-85D1-4515-9F45-7B76F9AC81AD}">
          <x14:formula1>
            <xm:f>Sheet2!$A$1:$A$80</xm:f>
          </x14:formula1>
          <xm:sqref>A2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8488-55D6-4C09-980F-21FCE14BBB7F}">
  <dimension ref="A1:K21"/>
  <sheetViews>
    <sheetView showGridLines="0" tabSelected="1" workbookViewId="0">
      <pane ySplit="1" topLeftCell="A2" activePane="bottomLeft" state="frozen"/>
      <selection pane="bottomLeft" activeCell="J4" sqref="J4"/>
    </sheetView>
  </sheetViews>
  <sheetFormatPr defaultRowHeight="14.4" x14ac:dyDescent="0.3"/>
  <cols>
    <col min="1" max="1" width="14" customWidth="1"/>
    <col min="2" max="2" width="26" customWidth="1"/>
    <col min="3" max="3" width="16" customWidth="1"/>
    <col min="4" max="4" width="24" customWidth="1"/>
    <col min="5" max="6" width="14" customWidth="1"/>
    <col min="7" max="8" width="20" customWidth="1"/>
    <col min="9" max="9" width="26" customWidth="1"/>
    <col min="10" max="10" width="70" customWidth="1"/>
    <col min="11" max="11" width="30" customWidth="1"/>
  </cols>
  <sheetData>
    <row r="1" spans="1:11" ht="31.95" customHeight="1" x14ac:dyDescent="0.3">
      <c r="A1" s="4" t="s">
        <v>24</v>
      </c>
      <c r="B1" s="4" t="s">
        <v>25</v>
      </c>
      <c r="C1" s="4" t="s">
        <v>26</v>
      </c>
      <c r="D1" s="4" t="s">
        <v>27</v>
      </c>
      <c r="E1" s="4" t="s">
        <v>28</v>
      </c>
      <c r="F1" s="4" t="s">
        <v>29</v>
      </c>
      <c r="G1" s="4" t="s">
        <v>30</v>
      </c>
      <c r="H1" s="4" t="s">
        <v>31</v>
      </c>
      <c r="I1" s="4" t="s">
        <v>32</v>
      </c>
      <c r="J1" s="4" t="s">
        <v>33</v>
      </c>
      <c r="K1" s="4" t="s">
        <v>34</v>
      </c>
    </row>
    <row r="2" spans="1:11" ht="30" customHeight="1" x14ac:dyDescent="0.3">
      <c r="A2" s="5" t="s">
        <v>54</v>
      </c>
      <c r="B2" s="5" t="s">
        <v>73</v>
      </c>
      <c r="C2" s="5" t="s">
        <v>74</v>
      </c>
      <c r="D2" s="5" t="s">
        <v>71</v>
      </c>
      <c r="E2" s="5" t="str">
        <f>A2</f>
        <v>TikTok</v>
      </c>
      <c r="F2" s="5" t="s">
        <v>40</v>
      </c>
      <c r="G2" s="5" t="s">
        <v>75</v>
      </c>
      <c r="H2" s="5" t="s">
        <v>69</v>
      </c>
      <c r="I2" s="5" t="s">
        <v>43</v>
      </c>
      <c r="J2" s="5" t="str">
        <f t="shared" ref="J2:J21" si="0">I2&amp;"?eventId="&amp;D2&amp;"&amp;utm_source="&amp;E2&amp;"&amp;utm_medium="&amp;F2&amp;"&amp;utm_campaign="&amp;G2&amp;IF(H2&lt;&gt;"","&amp;utm_content="&amp;H2,"")</f>
        <v>https://sparkdate.date/lp?eventId=8E9WZTat32JyoUjWuIE7&amp;utm_source=TikTok&amp;utm_medium=cpc&amp;utm_campaign=Augweek2_lancaster&amp;utm_content=proof_rsa1</v>
      </c>
      <c r="K2" s="6" t="s">
        <v>44</v>
      </c>
    </row>
    <row r="3" spans="1:11" ht="30" customHeight="1" x14ac:dyDescent="0.3">
      <c r="A3" s="5" t="s">
        <v>55</v>
      </c>
      <c r="B3" s="5" t="s">
        <v>73</v>
      </c>
      <c r="C3" s="5" t="s">
        <v>74</v>
      </c>
      <c r="D3" s="5" t="s">
        <v>71</v>
      </c>
      <c r="E3" s="5" t="str">
        <f t="shared" ref="E3:E13" si="1">A3</f>
        <v>Reddit</v>
      </c>
      <c r="F3" s="5" t="s">
        <v>49</v>
      </c>
      <c r="G3" s="5" t="s">
        <v>75</v>
      </c>
      <c r="H3" s="5" t="s">
        <v>69</v>
      </c>
      <c r="I3" s="5" t="s">
        <v>43</v>
      </c>
      <c r="J3" s="5" t="str">
        <f t="shared" si="0"/>
        <v>https://sparkdate.date/lp?eventId=8E9WZTat32JyoUjWuIE7&amp;utm_source=Reddit&amp;utm_medium=paid_social&amp;utm_campaign=Augweek2_lancaster&amp;utm_content=proof_rsa1</v>
      </c>
      <c r="K3" s="6" t="s">
        <v>70</v>
      </c>
    </row>
    <row r="4" spans="1:11" ht="30" customHeight="1" x14ac:dyDescent="0.3">
      <c r="A4" s="7" t="s">
        <v>56</v>
      </c>
      <c r="B4" s="5" t="s">
        <v>73</v>
      </c>
      <c r="C4" s="5" t="s">
        <v>74</v>
      </c>
      <c r="D4" s="5" t="s">
        <v>71</v>
      </c>
      <c r="E4" s="5" t="str">
        <f t="shared" si="1"/>
        <v>Instagram</v>
      </c>
      <c r="F4" s="5" t="s">
        <v>49</v>
      </c>
      <c r="G4" s="5" t="s">
        <v>75</v>
      </c>
      <c r="H4" s="5" t="s">
        <v>69</v>
      </c>
      <c r="I4" s="5" t="s">
        <v>43</v>
      </c>
      <c r="J4" s="5" t="str">
        <f t="shared" si="0"/>
        <v>https://sparkdate.date/lp?eventId=8E9WZTat32JyoUjWuIE7&amp;utm_source=Instagram&amp;utm_medium=paid_social&amp;utm_campaign=Augweek2_lancaster&amp;utm_content=proof_rsa1</v>
      </c>
      <c r="K4" s="6" t="s">
        <v>70</v>
      </c>
    </row>
    <row r="5" spans="1:11" ht="30" customHeight="1" x14ac:dyDescent="0.3">
      <c r="A5" s="7" t="s">
        <v>57</v>
      </c>
      <c r="B5" s="5" t="s">
        <v>73</v>
      </c>
      <c r="C5" s="5" t="s">
        <v>74</v>
      </c>
      <c r="D5" s="5" t="s">
        <v>71</v>
      </c>
      <c r="E5" s="5" t="str">
        <f t="shared" si="1"/>
        <v>Pinterest</v>
      </c>
      <c r="F5" s="5" t="s">
        <v>66</v>
      </c>
      <c r="G5" s="5" t="s">
        <v>75</v>
      </c>
      <c r="H5" s="5" t="s">
        <v>69</v>
      </c>
      <c r="I5" s="5" t="s">
        <v>43</v>
      </c>
      <c r="J5" s="5" t="str">
        <f t="shared" si="0"/>
        <v>https://sparkdate.date/lp?eventId=8E9WZTat32JyoUjWuIE7&amp;utm_source=Pinterest&amp;utm_medium=organic&amp;utm_campaign=Augweek2_lancaster&amp;utm_content=proof_rsa1</v>
      </c>
      <c r="K5" s="6" t="s">
        <v>70</v>
      </c>
    </row>
    <row r="6" spans="1:11" ht="30" customHeight="1" x14ac:dyDescent="0.3">
      <c r="A6" s="7" t="s">
        <v>58</v>
      </c>
      <c r="B6" s="5" t="s">
        <v>73</v>
      </c>
      <c r="C6" s="5" t="s">
        <v>74</v>
      </c>
      <c r="D6" s="5" t="s">
        <v>71</v>
      </c>
      <c r="E6" s="5" t="str">
        <f t="shared" si="1"/>
        <v>Facebook</v>
      </c>
      <c r="F6" s="5" t="s">
        <v>66</v>
      </c>
      <c r="G6" s="5" t="s">
        <v>75</v>
      </c>
      <c r="H6" s="5" t="s">
        <v>69</v>
      </c>
      <c r="I6" s="5" t="s">
        <v>43</v>
      </c>
      <c r="J6" s="5" t="str">
        <f t="shared" si="0"/>
        <v>https://sparkdate.date/lp?eventId=8E9WZTat32JyoUjWuIE7&amp;utm_source=Facebook&amp;utm_medium=organic&amp;utm_campaign=Augweek2_lancaster&amp;utm_content=proof_rsa1</v>
      </c>
      <c r="K6" s="6" t="s">
        <v>70</v>
      </c>
    </row>
    <row r="7" spans="1:11" ht="30" customHeight="1" x14ac:dyDescent="0.3">
      <c r="A7" s="7" t="s">
        <v>59</v>
      </c>
      <c r="B7" s="5" t="s">
        <v>73</v>
      </c>
      <c r="C7" s="5" t="s">
        <v>74</v>
      </c>
      <c r="D7" s="5" t="s">
        <v>71</v>
      </c>
      <c r="E7" s="5" t="str">
        <f t="shared" si="1"/>
        <v>X / Twitter</v>
      </c>
      <c r="F7" s="5" t="s">
        <v>66</v>
      </c>
      <c r="G7" s="5" t="s">
        <v>75</v>
      </c>
      <c r="H7" s="5" t="s">
        <v>69</v>
      </c>
      <c r="I7" s="5" t="s">
        <v>43</v>
      </c>
      <c r="J7" s="5" t="str">
        <f t="shared" si="0"/>
        <v>https://sparkdate.date/lp?eventId=8E9WZTat32JyoUjWuIE7&amp;utm_source=X / Twitter&amp;utm_medium=organic&amp;utm_campaign=Augweek2_lancaster&amp;utm_content=proof_rsa1</v>
      </c>
      <c r="K7" s="6" t="s">
        <v>70</v>
      </c>
    </row>
    <row r="8" spans="1:11" ht="30" customHeight="1" x14ac:dyDescent="0.3">
      <c r="A8" s="7" t="s">
        <v>60</v>
      </c>
      <c r="B8" s="5" t="s">
        <v>73</v>
      </c>
      <c r="C8" s="5" t="s">
        <v>74</v>
      </c>
      <c r="D8" s="5" t="s">
        <v>71</v>
      </c>
      <c r="E8" s="5" t="str">
        <f t="shared" si="1"/>
        <v>Email</v>
      </c>
      <c r="F8" s="5" t="s">
        <v>66</v>
      </c>
      <c r="G8" s="5" t="s">
        <v>75</v>
      </c>
      <c r="H8" s="5" t="s">
        <v>69</v>
      </c>
      <c r="I8" s="5" t="s">
        <v>43</v>
      </c>
      <c r="J8" s="5" t="str">
        <f t="shared" si="0"/>
        <v>https://sparkdate.date/lp?eventId=8E9WZTat32JyoUjWuIE7&amp;utm_source=Email&amp;utm_medium=organic&amp;utm_campaign=Augweek2_lancaster&amp;utm_content=proof_rsa1</v>
      </c>
      <c r="K8" s="6" t="s">
        <v>70</v>
      </c>
    </row>
    <row r="9" spans="1:11" ht="30" customHeight="1" x14ac:dyDescent="0.3">
      <c r="A9" s="7" t="s">
        <v>61</v>
      </c>
      <c r="B9" s="5" t="s">
        <v>73</v>
      </c>
      <c r="C9" s="5" t="s">
        <v>74</v>
      </c>
      <c r="D9" s="5" t="s">
        <v>71</v>
      </c>
      <c r="E9" s="5" t="str">
        <f t="shared" si="1"/>
        <v>Patch.com</v>
      </c>
      <c r="F9" s="5" t="s">
        <v>66</v>
      </c>
      <c r="G9" s="5" t="s">
        <v>75</v>
      </c>
      <c r="H9" s="5" t="s">
        <v>69</v>
      </c>
      <c r="I9" s="5" t="s">
        <v>43</v>
      </c>
      <c r="J9" s="5" t="str">
        <f t="shared" si="0"/>
        <v>https://sparkdate.date/lp?eventId=8E9WZTat32JyoUjWuIE7&amp;utm_source=Patch.com&amp;utm_medium=organic&amp;utm_campaign=Augweek2_lancaster&amp;utm_content=proof_rsa1</v>
      </c>
      <c r="K9" s="6" t="s">
        <v>70</v>
      </c>
    </row>
    <row r="10" spans="1:11" ht="30" customHeight="1" x14ac:dyDescent="0.3">
      <c r="A10" s="7" t="s">
        <v>62</v>
      </c>
      <c r="B10" s="5" t="s">
        <v>73</v>
      </c>
      <c r="C10" s="5" t="s">
        <v>74</v>
      </c>
      <c r="D10" s="5" t="s">
        <v>71</v>
      </c>
      <c r="E10" s="5" t="str">
        <f t="shared" si="1"/>
        <v>Eventbrite</v>
      </c>
      <c r="F10" s="5" t="s">
        <v>66</v>
      </c>
      <c r="G10" s="5" t="s">
        <v>75</v>
      </c>
      <c r="H10" s="5" t="s">
        <v>69</v>
      </c>
      <c r="I10" s="5" t="s">
        <v>43</v>
      </c>
      <c r="J10" s="5" t="str">
        <f t="shared" si="0"/>
        <v>https://sparkdate.date/lp?eventId=8E9WZTat32JyoUjWuIE7&amp;utm_source=Eventbrite&amp;utm_medium=organic&amp;utm_campaign=Augweek2_lancaster&amp;utm_content=proof_rsa1</v>
      </c>
      <c r="K10" s="6" t="s">
        <v>70</v>
      </c>
    </row>
    <row r="11" spans="1:11" ht="30" customHeight="1" x14ac:dyDescent="0.3">
      <c r="A11" s="7" t="s">
        <v>63</v>
      </c>
      <c r="B11" s="5" t="s">
        <v>73</v>
      </c>
      <c r="C11" s="5" t="s">
        <v>74</v>
      </c>
      <c r="D11" s="5" t="s">
        <v>71</v>
      </c>
      <c r="E11" s="5" t="str">
        <f t="shared" si="1"/>
        <v>Flyers</v>
      </c>
      <c r="F11" s="5" t="s">
        <v>67</v>
      </c>
      <c r="G11" s="5" t="s">
        <v>75</v>
      </c>
      <c r="H11" s="5" t="s">
        <v>69</v>
      </c>
      <c r="I11" s="5" t="s">
        <v>43</v>
      </c>
      <c r="J11" s="5" t="str">
        <f t="shared" si="0"/>
        <v>https://sparkdate.date/lp?eventId=8E9WZTat32JyoUjWuIE7&amp;utm_source=Flyers&amp;utm_medium=referral&amp;utm_campaign=Augweek2_lancaster&amp;utm_content=proof_rsa1</v>
      </c>
      <c r="K11" s="6" t="s">
        <v>70</v>
      </c>
    </row>
    <row r="12" spans="1:11" ht="30" customHeight="1" x14ac:dyDescent="0.3">
      <c r="A12" s="7" t="s">
        <v>64</v>
      </c>
      <c r="B12" s="5" t="s">
        <v>73</v>
      </c>
      <c r="C12" s="5" t="s">
        <v>74</v>
      </c>
      <c r="D12" s="5" t="s">
        <v>71</v>
      </c>
      <c r="E12" s="5" t="str">
        <f t="shared" si="1"/>
        <v>Google Business Posting</v>
      </c>
      <c r="F12" s="5" t="s">
        <v>66</v>
      </c>
      <c r="G12" s="5" t="s">
        <v>75</v>
      </c>
      <c r="H12" s="5" t="s">
        <v>69</v>
      </c>
      <c r="I12" s="5" t="s">
        <v>43</v>
      </c>
      <c r="J12" s="5" t="str">
        <f t="shared" si="0"/>
        <v>https://sparkdate.date/lp?eventId=8E9WZTat32JyoUjWuIE7&amp;utm_source=Google Business Posting&amp;utm_medium=organic&amp;utm_campaign=Augweek2_lancaster&amp;utm_content=proof_rsa1</v>
      </c>
      <c r="K12" s="6" t="s">
        <v>70</v>
      </c>
    </row>
    <row r="13" spans="1:11" ht="30" customHeight="1" x14ac:dyDescent="0.3">
      <c r="A13" s="7" t="s">
        <v>35</v>
      </c>
      <c r="B13" s="5" t="s">
        <v>73</v>
      </c>
      <c r="C13" s="5" t="s">
        <v>74</v>
      </c>
      <c r="D13" s="5" t="s">
        <v>71</v>
      </c>
      <c r="E13" s="5" t="str">
        <f t="shared" si="1"/>
        <v>Google Ads</v>
      </c>
      <c r="F13" s="5" t="s">
        <v>40</v>
      </c>
      <c r="G13" s="5" t="s">
        <v>75</v>
      </c>
      <c r="H13" s="5" t="s">
        <v>69</v>
      </c>
      <c r="I13" s="5" t="s">
        <v>43</v>
      </c>
      <c r="J13" s="5" t="str">
        <f t="shared" si="0"/>
        <v>https://sparkdate.date/lp?eventId=8E9WZTat32JyoUjWuIE7&amp;utm_source=Google Ads&amp;utm_medium=cpc&amp;utm_campaign=Augweek2_lancaster&amp;utm_content=proof_rsa1</v>
      </c>
      <c r="K13" s="6" t="s">
        <v>70</v>
      </c>
    </row>
    <row r="14" spans="1:11" ht="30" customHeight="1" x14ac:dyDescent="0.3">
      <c r="A14" s="7"/>
      <c r="B14" s="7"/>
      <c r="C14" s="7"/>
      <c r="D14" s="5" t="s">
        <v>71</v>
      </c>
      <c r="E14" s="7"/>
      <c r="F14" s="7"/>
      <c r="G14" s="7"/>
      <c r="H14" s="7"/>
      <c r="I14" s="7" t="s">
        <v>43</v>
      </c>
      <c r="J14" s="7" t="str">
        <f t="shared" si="0"/>
        <v>https://sparkdate.date/lp?eventId=8E9WZTat32JyoUjWuIE7&amp;utm_source=&amp;utm_medium=&amp;utm_campaign=</v>
      </c>
      <c r="K14" s="7"/>
    </row>
    <row r="15" spans="1:11" ht="30" customHeight="1" x14ac:dyDescent="0.3">
      <c r="A15" s="7"/>
      <c r="B15" s="7"/>
      <c r="C15" s="7"/>
      <c r="D15" s="5" t="s">
        <v>71</v>
      </c>
      <c r="E15" s="7"/>
      <c r="F15" s="7"/>
      <c r="G15" s="7"/>
      <c r="H15" s="7"/>
      <c r="I15" s="7" t="s">
        <v>43</v>
      </c>
      <c r="J15" s="7" t="str">
        <f t="shared" si="0"/>
        <v>https://sparkdate.date/lp?eventId=8E9WZTat32JyoUjWuIE7&amp;utm_source=&amp;utm_medium=&amp;utm_campaign=</v>
      </c>
      <c r="K15" s="7"/>
    </row>
    <row r="16" spans="1:11" ht="30" customHeight="1" x14ac:dyDescent="0.3">
      <c r="A16" s="7"/>
      <c r="B16" s="7"/>
      <c r="C16" s="7"/>
      <c r="D16" s="5" t="s">
        <v>71</v>
      </c>
      <c r="E16" s="7"/>
      <c r="F16" s="7"/>
      <c r="G16" s="7"/>
      <c r="H16" s="7"/>
      <c r="I16" s="7" t="s">
        <v>43</v>
      </c>
      <c r="J16" s="7" t="str">
        <f t="shared" si="0"/>
        <v>https://sparkdate.date/lp?eventId=8E9WZTat32JyoUjWuIE7&amp;utm_source=&amp;utm_medium=&amp;utm_campaign=</v>
      </c>
      <c r="K16" s="7"/>
    </row>
    <row r="17" spans="1:11" ht="30" customHeight="1" x14ac:dyDescent="0.3">
      <c r="A17" s="7"/>
      <c r="B17" s="7"/>
      <c r="C17" s="7"/>
      <c r="D17" s="5" t="s">
        <v>71</v>
      </c>
      <c r="E17" s="7"/>
      <c r="F17" s="7"/>
      <c r="G17" s="7"/>
      <c r="H17" s="7"/>
      <c r="I17" s="7" t="s">
        <v>43</v>
      </c>
      <c r="J17" s="7" t="str">
        <f t="shared" si="0"/>
        <v>https://sparkdate.date/lp?eventId=8E9WZTat32JyoUjWuIE7&amp;utm_source=&amp;utm_medium=&amp;utm_campaign=</v>
      </c>
      <c r="K17" s="7"/>
    </row>
    <row r="18" spans="1:11" ht="30" customHeight="1" x14ac:dyDescent="0.3">
      <c r="A18" s="7"/>
      <c r="B18" s="7"/>
      <c r="C18" s="7"/>
      <c r="D18" s="5" t="s">
        <v>71</v>
      </c>
      <c r="E18" s="7"/>
      <c r="F18" s="7"/>
      <c r="G18" s="7"/>
      <c r="H18" s="7"/>
      <c r="I18" s="7" t="s">
        <v>43</v>
      </c>
      <c r="J18" s="7" t="str">
        <f t="shared" si="0"/>
        <v>https://sparkdate.date/lp?eventId=8E9WZTat32JyoUjWuIE7&amp;utm_source=&amp;utm_medium=&amp;utm_campaign=</v>
      </c>
      <c r="K18" s="7"/>
    </row>
    <row r="19" spans="1:11" ht="30" customHeight="1" x14ac:dyDescent="0.3">
      <c r="A19" s="7"/>
      <c r="B19" s="7"/>
      <c r="C19" s="7"/>
      <c r="D19" s="5" t="s">
        <v>71</v>
      </c>
      <c r="E19" s="7"/>
      <c r="F19" s="7"/>
      <c r="G19" s="7"/>
      <c r="H19" s="7"/>
      <c r="I19" s="7" t="s">
        <v>43</v>
      </c>
      <c r="J19" s="7" t="str">
        <f t="shared" si="0"/>
        <v>https://sparkdate.date/lp?eventId=8E9WZTat32JyoUjWuIE7&amp;utm_source=&amp;utm_medium=&amp;utm_campaign=</v>
      </c>
      <c r="K19" s="7"/>
    </row>
    <row r="20" spans="1:11" ht="30" customHeight="1" x14ac:dyDescent="0.3">
      <c r="A20" s="7"/>
      <c r="B20" s="7"/>
      <c r="C20" s="7"/>
      <c r="D20" s="5" t="s">
        <v>71</v>
      </c>
      <c r="E20" s="7"/>
      <c r="F20" s="7"/>
      <c r="G20" s="7"/>
      <c r="H20" s="7"/>
      <c r="I20" s="7" t="s">
        <v>43</v>
      </c>
      <c r="J20" s="7" t="str">
        <f t="shared" si="0"/>
        <v>https://sparkdate.date/lp?eventId=8E9WZTat32JyoUjWuIE7&amp;utm_source=&amp;utm_medium=&amp;utm_campaign=</v>
      </c>
      <c r="K20" s="7"/>
    </row>
    <row r="21" spans="1:11" ht="30" customHeight="1" x14ac:dyDescent="0.3">
      <c r="A21" s="7"/>
      <c r="B21" s="7"/>
      <c r="C21" s="7"/>
      <c r="D21" s="5" t="s">
        <v>71</v>
      </c>
      <c r="E21" s="7"/>
      <c r="F21" s="7"/>
      <c r="G21" s="7"/>
      <c r="H21" s="7"/>
      <c r="I21" s="7" t="s">
        <v>43</v>
      </c>
      <c r="J21" s="7" t="str">
        <f t="shared" si="0"/>
        <v>https://sparkdate.date/lp?eventId=8E9WZTat32JyoUjWuIE7&amp;utm_source=&amp;utm_medium=&amp;utm_campaign=</v>
      </c>
      <c r="K21" s="7"/>
    </row>
  </sheetData>
  <dataValidations count="1">
    <dataValidation type="list" errorStyle="warning" allowBlank="1" sqref="F2:F21" xr:uid="{5790EE4E-3EFD-4213-BBE2-FB0550B09D0B}">
      <formula1>"cpc,paid_social,email,organic,referral"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errorStyle="warning" allowBlank="1" error="Pick a platform from the list, or type your own." xr:uid="{BA94B4FD-1223-4321-81D3-155C7F47D366}">
          <x14:formula1>
            <xm:f>Sheet2!$A$2:$A$13</xm:f>
          </x14:formula1>
          <xm:sqref>A2:A21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E50B-00B4-4932-BAAC-F5DA38A50A87}">
  <dimension ref="A1:K21"/>
  <sheetViews>
    <sheetView showGridLines="0" topLeftCell="D1" workbookViewId="0">
      <pane ySplit="1" topLeftCell="A2" activePane="bottomLeft" state="frozen"/>
      <selection pane="bottomLeft" activeCell="J6" sqref="J6"/>
    </sheetView>
  </sheetViews>
  <sheetFormatPr defaultRowHeight="14.4" x14ac:dyDescent="0.3"/>
  <cols>
    <col min="1" max="1" width="14" customWidth="1"/>
    <col min="2" max="2" width="26" customWidth="1"/>
    <col min="3" max="3" width="16" customWidth="1"/>
    <col min="4" max="4" width="24" customWidth="1"/>
    <col min="5" max="6" width="14" customWidth="1"/>
    <col min="7" max="8" width="20" customWidth="1"/>
    <col min="9" max="9" width="26" customWidth="1"/>
    <col min="10" max="10" width="70" customWidth="1"/>
    <col min="11" max="11" width="30" customWidth="1"/>
  </cols>
  <sheetData>
    <row r="1" spans="1:11" ht="31.95" customHeight="1" x14ac:dyDescent="0.3">
      <c r="A1" s="4" t="s">
        <v>24</v>
      </c>
      <c r="B1" s="4" t="s">
        <v>25</v>
      </c>
      <c r="C1" s="4" t="s">
        <v>26</v>
      </c>
      <c r="D1" s="4" t="s">
        <v>27</v>
      </c>
      <c r="E1" s="4" t="s">
        <v>28</v>
      </c>
      <c r="F1" s="4" t="s">
        <v>29</v>
      </c>
      <c r="G1" s="4" t="s">
        <v>30</v>
      </c>
      <c r="H1" s="4" t="s">
        <v>31</v>
      </c>
      <c r="I1" s="4" t="s">
        <v>32</v>
      </c>
      <c r="J1" s="4" t="s">
        <v>33</v>
      </c>
      <c r="K1" s="4" t="s">
        <v>34</v>
      </c>
    </row>
    <row r="2" spans="1:11" ht="30" customHeight="1" x14ac:dyDescent="0.3">
      <c r="A2" s="5" t="s">
        <v>54</v>
      </c>
      <c r="B2" s="5" t="s">
        <v>65</v>
      </c>
      <c r="C2" s="5" t="s">
        <v>37</v>
      </c>
      <c r="D2" s="5" t="s">
        <v>52</v>
      </c>
      <c r="E2" s="5" t="str">
        <f>A2</f>
        <v>TikTok</v>
      </c>
      <c r="F2" s="5" t="s">
        <v>40</v>
      </c>
      <c r="G2" s="5" t="s">
        <v>68</v>
      </c>
      <c r="H2" s="5" t="s">
        <v>69</v>
      </c>
      <c r="I2" s="5" t="s">
        <v>43</v>
      </c>
      <c r="J2" s="5" t="str">
        <f t="shared" ref="J2:J21" si="0">I2&amp;"?eventId="&amp;D2&amp;"&amp;utm_source="&amp;E2&amp;"&amp;utm_medium="&amp;F2&amp;"&amp;utm_campaign="&amp;G2&amp;IF(H2&lt;&gt;"","&amp;utm_content="&amp;H2,"")</f>
        <v>https://sparkdate.date/lp?eventId=HwXXG8HPLMLwaoBoNdXk&amp;utm_source=TikTok&amp;utm_medium=cpc&amp;utm_campaign=Augweek1_philly&amp;utm_content=proof_rsa1</v>
      </c>
      <c r="K2" s="6" t="s">
        <v>44</v>
      </c>
    </row>
    <row r="3" spans="1:11" ht="30" customHeight="1" x14ac:dyDescent="0.3">
      <c r="A3" s="5" t="s">
        <v>55</v>
      </c>
      <c r="B3" s="5" t="s">
        <v>65</v>
      </c>
      <c r="C3" s="5" t="s">
        <v>37</v>
      </c>
      <c r="D3" s="5" t="s">
        <v>52</v>
      </c>
      <c r="E3" s="5" t="str">
        <f t="shared" ref="E3:E13" si="1">A3</f>
        <v>Reddit</v>
      </c>
      <c r="F3" s="5" t="s">
        <v>49</v>
      </c>
      <c r="G3" s="5" t="s">
        <v>68</v>
      </c>
      <c r="H3" s="5" t="s">
        <v>69</v>
      </c>
      <c r="I3" s="5" t="s">
        <v>43</v>
      </c>
      <c r="J3" s="5" t="str">
        <f t="shared" si="0"/>
        <v>https://sparkdate.date/lp?eventId=HwXXG8HPLMLwaoBoNdXk&amp;utm_source=Reddit&amp;utm_medium=paid_social&amp;utm_campaign=Augweek1_philly&amp;utm_content=proof_rsa1</v>
      </c>
      <c r="K3" s="6" t="s">
        <v>70</v>
      </c>
    </row>
    <row r="4" spans="1:11" ht="30" customHeight="1" x14ac:dyDescent="0.3">
      <c r="A4" s="7" t="s">
        <v>56</v>
      </c>
      <c r="B4" s="5" t="s">
        <v>65</v>
      </c>
      <c r="C4" s="5" t="s">
        <v>37</v>
      </c>
      <c r="D4" s="5" t="s">
        <v>52</v>
      </c>
      <c r="E4" s="5" t="str">
        <f t="shared" si="1"/>
        <v>Instagram</v>
      </c>
      <c r="F4" s="5" t="s">
        <v>49</v>
      </c>
      <c r="G4" s="5" t="s">
        <v>68</v>
      </c>
      <c r="H4" s="5" t="s">
        <v>69</v>
      </c>
      <c r="I4" s="5" t="s">
        <v>43</v>
      </c>
      <c r="J4" s="5" t="str">
        <f t="shared" ref="J4:J13" si="2">I4&amp;"?eventId="&amp;D4&amp;"&amp;utm_source="&amp;E4&amp;"&amp;utm_medium="&amp;F4&amp;"&amp;utm_campaign="&amp;G4&amp;IF(H4&lt;&gt;"","&amp;utm_content="&amp;H4,"")</f>
        <v>https://sparkdate.date/lp?eventId=HwXXG8HPLMLwaoBoNdXk&amp;utm_source=Instagram&amp;utm_medium=paid_social&amp;utm_campaign=Augweek1_philly&amp;utm_content=proof_rsa1</v>
      </c>
      <c r="K4" s="6" t="s">
        <v>70</v>
      </c>
    </row>
    <row r="5" spans="1:11" ht="30" customHeight="1" x14ac:dyDescent="0.3">
      <c r="A5" s="7" t="s">
        <v>57</v>
      </c>
      <c r="B5" s="5" t="s">
        <v>65</v>
      </c>
      <c r="C5" s="5" t="s">
        <v>37</v>
      </c>
      <c r="D5" s="5" t="s">
        <v>52</v>
      </c>
      <c r="E5" s="5" t="str">
        <f t="shared" si="1"/>
        <v>Pinterest</v>
      </c>
      <c r="F5" s="5" t="s">
        <v>66</v>
      </c>
      <c r="G5" s="5" t="s">
        <v>68</v>
      </c>
      <c r="H5" s="5" t="s">
        <v>69</v>
      </c>
      <c r="I5" s="5" t="s">
        <v>43</v>
      </c>
      <c r="J5" s="5" t="str">
        <f t="shared" si="2"/>
        <v>https://sparkdate.date/lp?eventId=HwXXG8HPLMLwaoBoNdXk&amp;utm_source=Pinterest&amp;utm_medium=organic&amp;utm_campaign=Augweek1_philly&amp;utm_content=proof_rsa1</v>
      </c>
      <c r="K5" s="6" t="s">
        <v>70</v>
      </c>
    </row>
    <row r="6" spans="1:11" ht="30" customHeight="1" x14ac:dyDescent="0.3">
      <c r="A6" s="7" t="s">
        <v>58</v>
      </c>
      <c r="B6" s="5" t="s">
        <v>65</v>
      </c>
      <c r="C6" s="5" t="s">
        <v>37</v>
      </c>
      <c r="D6" s="5" t="s">
        <v>52</v>
      </c>
      <c r="E6" s="5" t="str">
        <f t="shared" si="1"/>
        <v>Facebook</v>
      </c>
      <c r="F6" s="5" t="s">
        <v>66</v>
      </c>
      <c r="G6" s="5" t="s">
        <v>72</v>
      </c>
      <c r="H6" s="5" t="s">
        <v>69</v>
      </c>
      <c r="I6" s="5" t="s">
        <v>43</v>
      </c>
      <c r="J6" s="5" t="str">
        <f t="shared" si="2"/>
        <v>https://sparkdate.date/lp?eventId=HwXXG8HPLMLwaoBoNdXk&amp;utm_source=Facebook&amp;utm_medium=organic&amp;utm_campaign=Augweek3_philly&amp;utm_content=proof_rsa1</v>
      </c>
      <c r="K6" s="6" t="s">
        <v>70</v>
      </c>
    </row>
    <row r="7" spans="1:11" ht="30" customHeight="1" x14ac:dyDescent="0.3">
      <c r="A7" s="7" t="s">
        <v>59</v>
      </c>
      <c r="B7" s="5" t="s">
        <v>65</v>
      </c>
      <c r="C7" s="5" t="s">
        <v>37</v>
      </c>
      <c r="D7" s="5" t="s">
        <v>52</v>
      </c>
      <c r="E7" s="5" t="str">
        <f t="shared" si="1"/>
        <v>X / Twitter</v>
      </c>
      <c r="F7" s="5" t="s">
        <v>66</v>
      </c>
      <c r="G7" s="5" t="s">
        <v>68</v>
      </c>
      <c r="H7" s="5" t="s">
        <v>69</v>
      </c>
      <c r="I7" s="5" t="s">
        <v>43</v>
      </c>
      <c r="J7" s="5" t="str">
        <f t="shared" si="2"/>
        <v>https://sparkdate.date/lp?eventId=HwXXG8HPLMLwaoBoNdXk&amp;utm_source=X / Twitter&amp;utm_medium=organic&amp;utm_campaign=Augweek1_philly&amp;utm_content=proof_rsa1</v>
      </c>
      <c r="K7" s="6" t="s">
        <v>70</v>
      </c>
    </row>
    <row r="8" spans="1:11" ht="30" customHeight="1" x14ac:dyDescent="0.3">
      <c r="A8" s="7" t="s">
        <v>60</v>
      </c>
      <c r="B8" s="5" t="s">
        <v>65</v>
      </c>
      <c r="C8" s="5" t="s">
        <v>37</v>
      </c>
      <c r="D8" s="5" t="s">
        <v>52</v>
      </c>
      <c r="E8" s="5" t="str">
        <f t="shared" si="1"/>
        <v>Email</v>
      </c>
      <c r="F8" s="5" t="s">
        <v>66</v>
      </c>
      <c r="G8" s="5" t="s">
        <v>68</v>
      </c>
      <c r="H8" s="5" t="s">
        <v>69</v>
      </c>
      <c r="I8" s="5" t="s">
        <v>43</v>
      </c>
      <c r="J8" s="5" t="str">
        <f t="shared" si="2"/>
        <v>https://sparkdate.date/lp?eventId=HwXXG8HPLMLwaoBoNdXk&amp;utm_source=Email&amp;utm_medium=organic&amp;utm_campaign=Augweek1_philly&amp;utm_content=proof_rsa1</v>
      </c>
      <c r="K8" s="6" t="s">
        <v>70</v>
      </c>
    </row>
    <row r="9" spans="1:11" ht="30" customHeight="1" x14ac:dyDescent="0.3">
      <c r="A9" s="7" t="s">
        <v>61</v>
      </c>
      <c r="B9" s="5" t="s">
        <v>65</v>
      </c>
      <c r="C9" s="5" t="s">
        <v>37</v>
      </c>
      <c r="D9" s="5" t="s">
        <v>52</v>
      </c>
      <c r="E9" s="5" t="str">
        <f t="shared" si="1"/>
        <v>Patch.com</v>
      </c>
      <c r="F9" s="5" t="s">
        <v>66</v>
      </c>
      <c r="G9" s="5" t="s">
        <v>68</v>
      </c>
      <c r="H9" s="5" t="s">
        <v>69</v>
      </c>
      <c r="I9" s="5" t="s">
        <v>43</v>
      </c>
      <c r="J9" s="5" t="str">
        <f t="shared" si="2"/>
        <v>https://sparkdate.date/lp?eventId=HwXXG8HPLMLwaoBoNdXk&amp;utm_source=Patch.com&amp;utm_medium=organic&amp;utm_campaign=Augweek1_philly&amp;utm_content=proof_rsa1</v>
      </c>
      <c r="K9" s="6" t="s">
        <v>70</v>
      </c>
    </row>
    <row r="10" spans="1:11" ht="30" customHeight="1" x14ac:dyDescent="0.3">
      <c r="A10" s="7" t="s">
        <v>62</v>
      </c>
      <c r="B10" s="5" t="s">
        <v>65</v>
      </c>
      <c r="C10" s="5" t="s">
        <v>37</v>
      </c>
      <c r="D10" s="5" t="s">
        <v>52</v>
      </c>
      <c r="E10" s="5" t="str">
        <f t="shared" si="1"/>
        <v>Eventbrite</v>
      </c>
      <c r="F10" s="5" t="s">
        <v>66</v>
      </c>
      <c r="G10" s="5" t="s">
        <v>68</v>
      </c>
      <c r="H10" s="5" t="s">
        <v>69</v>
      </c>
      <c r="I10" s="5" t="s">
        <v>43</v>
      </c>
      <c r="J10" s="5" t="str">
        <f t="shared" si="2"/>
        <v>https://sparkdate.date/lp?eventId=HwXXG8HPLMLwaoBoNdXk&amp;utm_source=Eventbrite&amp;utm_medium=organic&amp;utm_campaign=Augweek1_philly&amp;utm_content=proof_rsa1</v>
      </c>
      <c r="K10" s="6" t="s">
        <v>70</v>
      </c>
    </row>
    <row r="11" spans="1:11" ht="30" customHeight="1" x14ac:dyDescent="0.3">
      <c r="A11" s="7" t="s">
        <v>63</v>
      </c>
      <c r="B11" s="5" t="s">
        <v>65</v>
      </c>
      <c r="C11" s="5" t="s">
        <v>37</v>
      </c>
      <c r="D11" s="5" t="s">
        <v>52</v>
      </c>
      <c r="E11" s="5" t="str">
        <f t="shared" si="1"/>
        <v>Flyers</v>
      </c>
      <c r="F11" s="5" t="s">
        <v>67</v>
      </c>
      <c r="G11" s="5" t="s">
        <v>68</v>
      </c>
      <c r="H11" s="5" t="s">
        <v>69</v>
      </c>
      <c r="I11" s="5" t="s">
        <v>43</v>
      </c>
      <c r="J11" s="5" t="str">
        <f t="shared" si="2"/>
        <v>https://sparkdate.date/lp?eventId=HwXXG8HPLMLwaoBoNdXk&amp;utm_source=Flyers&amp;utm_medium=referral&amp;utm_campaign=Augweek1_philly&amp;utm_content=proof_rsa1</v>
      </c>
      <c r="K11" s="6" t="s">
        <v>70</v>
      </c>
    </row>
    <row r="12" spans="1:11" ht="30" customHeight="1" x14ac:dyDescent="0.3">
      <c r="A12" s="7" t="s">
        <v>64</v>
      </c>
      <c r="B12" s="5" t="s">
        <v>65</v>
      </c>
      <c r="C12" s="5" t="s">
        <v>37</v>
      </c>
      <c r="D12" s="5" t="s">
        <v>52</v>
      </c>
      <c r="E12" s="5" t="str">
        <f t="shared" si="1"/>
        <v>Google Business Posting</v>
      </c>
      <c r="F12" s="5" t="s">
        <v>66</v>
      </c>
      <c r="G12" s="5" t="s">
        <v>68</v>
      </c>
      <c r="H12" s="5" t="s">
        <v>69</v>
      </c>
      <c r="I12" s="5" t="s">
        <v>43</v>
      </c>
      <c r="J12" s="5" t="str">
        <f t="shared" si="2"/>
        <v>https://sparkdate.date/lp?eventId=HwXXG8HPLMLwaoBoNdXk&amp;utm_source=Google Business Posting&amp;utm_medium=organic&amp;utm_campaign=Augweek1_philly&amp;utm_content=proof_rsa1</v>
      </c>
      <c r="K12" s="6" t="s">
        <v>70</v>
      </c>
    </row>
    <row r="13" spans="1:11" ht="30" customHeight="1" x14ac:dyDescent="0.3">
      <c r="A13" s="7" t="s">
        <v>35</v>
      </c>
      <c r="B13" s="5" t="s">
        <v>65</v>
      </c>
      <c r="C13" s="5" t="s">
        <v>37</v>
      </c>
      <c r="D13" s="5" t="s">
        <v>52</v>
      </c>
      <c r="E13" s="5" t="str">
        <f t="shared" si="1"/>
        <v>Google Ads</v>
      </c>
      <c r="F13" s="5" t="s">
        <v>40</v>
      </c>
      <c r="G13" s="5" t="s">
        <v>68</v>
      </c>
      <c r="H13" s="5" t="s">
        <v>69</v>
      </c>
      <c r="I13" s="5" t="s">
        <v>43</v>
      </c>
      <c r="J13" s="5" t="str">
        <f t="shared" si="2"/>
        <v>https://sparkdate.date/lp?eventId=HwXXG8HPLMLwaoBoNdXk&amp;utm_source=Google Ads&amp;utm_medium=cpc&amp;utm_campaign=Augweek1_philly&amp;utm_content=proof_rsa1</v>
      </c>
      <c r="K13" s="6" t="s">
        <v>70</v>
      </c>
    </row>
    <row r="14" spans="1:11" ht="30" customHeight="1" x14ac:dyDescent="0.3">
      <c r="A14" s="7"/>
      <c r="B14" s="7"/>
      <c r="C14" s="7"/>
      <c r="D14" s="5" t="s">
        <v>52</v>
      </c>
      <c r="E14" s="7"/>
      <c r="F14" s="7"/>
      <c r="G14" s="7"/>
      <c r="H14" s="7"/>
      <c r="I14" s="7" t="s">
        <v>43</v>
      </c>
      <c r="J14" s="7" t="str">
        <f t="shared" si="0"/>
        <v>https://sparkdate.date/lp?eventId=HwXXG8HPLMLwaoBoNdXk&amp;utm_source=&amp;utm_medium=&amp;utm_campaign=</v>
      </c>
      <c r="K14" s="7"/>
    </row>
    <row r="15" spans="1:11" ht="30" customHeight="1" x14ac:dyDescent="0.3">
      <c r="A15" s="7"/>
      <c r="B15" s="7"/>
      <c r="C15" s="7"/>
      <c r="D15" s="5" t="s">
        <v>52</v>
      </c>
      <c r="E15" s="7"/>
      <c r="F15" s="7"/>
      <c r="G15" s="7"/>
      <c r="H15" s="7"/>
      <c r="I15" s="7" t="s">
        <v>43</v>
      </c>
      <c r="J15" s="7" t="str">
        <f t="shared" si="0"/>
        <v>https://sparkdate.date/lp?eventId=HwXXG8HPLMLwaoBoNdXk&amp;utm_source=&amp;utm_medium=&amp;utm_campaign=</v>
      </c>
      <c r="K15" s="7"/>
    </row>
    <row r="16" spans="1:11" ht="30" customHeight="1" x14ac:dyDescent="0.3">
      <c r="A16" s="7"/>
      <c r="B16" s="7"/>
      <c r="C16" s="7"/>
      <c r="D16" s="5" t="s">
        <v>52</v>
      </c>
      <c r="E16" s="7"/>
      <c r="F16" s="7"/>
      <c r="G16" s="7"/>
      <c r="H16" s="7"/>
      <c r="I16" s="7" t="s">
        <v>43</v>
      </c>
      <c r="J16" s="7" t="str">
        <f t="shared" si="0"/>
        <v>https://sparkdate.date/lp?eventId=HwXXG8HPLMLwaoBoNdXk&amp;utm_source=&amp;utm_medium=&amp;utm_campaign=</v>
      </c>
      <c r="K16" s="7"/>
    </row>
    <row r="17" spans="1:11" ht="30" customHeight="1" x14ac:dyDescent="0.3">
      <c r="A17" s="7"/>
      <c r="B17" s="7"/>
      <c r="C17" s="7"/>
      <c r="D17" s="5" t="s">
        <v>52</v>
      </c>
      <c r="E17" s="7"/>
      <c r="F17" s="7"/>
      <c r="G17" s="7"/>
      <c r="H17" s="7"/>
      <c r="I17" s="7" t="s">
        <v>43</v>
      </c>
      <c r="J17" s="7" t="str">
        <f t="shared" si="0"/>
        <v>https://sparkdate.date/lp?eventId=HwXXG8HPLMLwaoBoNdXk&amp;utm_source=&amp;utm_medium=&amp;utm_campaign=</v>
      </c>
      <c r="K17" s="7"/>
    </row>
    <row r="18" spans="1:11" ht="30" customHeight="1" x14ac:dyDescent="0.3">
      <c r="A18" s="7"/>
      <c r="B18" s="7"/>
      <c r="C18" s="7"/>
      <c r="D18" s="5" t="s">
        <v>52</v>
      </c>
      <c r="E18" s="7"/>
      <c r="F18" s="7"/>
      <c r="G18" s="7"/>
      <c r="H18" s="7"/>
      <c r="I18" s="7" t="s">
        <v>43</v>
      </c>
      <c r="J18" s="7" t="str">
        <f t="shared" si="0"/>
        <v>https://sparkdate.date/lp?eventId=HwXXG8HPLMLwaoBoNdXk&amp;utm_source=&amp;utm_medium=&amp;utm_campaign=</v>
      </c>
      <c r="K18" s="7"/>
    </row>
    <row r="19" spans="1:11" ht="30" customHeight="1" x14ac:dyDescent="0.3">
      <c r="A19" s="7"/>
      <c r="B19" s="7"/>
      <c r="C19" s="7"/>
      <c r="D19" s="5" t="s">
        <v>52</v>
      </c>
      <c r="E19" s="7"/>
      <c r="F19" s="7"/>
      <c r="G19" s="7"/>
      <c r="H19" s="7"/>
      <c r="I19" s="7" t="s">
        <v>43</v>
      </c>
      <c r="J19" s="7" t="str">
        <f t="shared" si="0"/>
        <v>https://sparkdate.date/lp?eventId=HwXXG8HPLMLwaoBoNdXk&amp;utm_source=&amp;utm_medium=&amp;utm_campaign=</v>
      </c>
      <c r="K19" s="7"/>
    </row>
    <row r="20" spans="1:11" ht="30" customHeight="1" x14ac:dyDescent="0.3">
      <c r="A20" s="7"/>
      <c r="B20" s="7"/>
      <c r="C20" s="7"/>
      <c r="D20" s="5" t="s">
        <v>52</v>
      </c>
      <c r="E20" s="7"/>
      <c r="F20" s="7"/>
      <c r="G20" s="7"/>
      <c r="H20" s="7"/>
      <c r="I20" s="7" t="s">
        <v>43</v>
      </c>
      <c r="J20" s="7" t="str">
        <f t="shared" si="0"/>
        <v>https://sparkdate.date/lp?eventId=HwXXG8HPLMLwaoBoNdXk&amp;utm_source=&amp;utm_medium=&amp;utm_campaign=</v>
      </c>
      <c r="K20" s="7"/>
    </row>
    <row r="21" spans="1:11" ht="30" customHeight="1" x14ac:dyDescent="0.3">
      <c r="A21" s="7"/>
      <c r="B21" s="7"/>
      <c r="C21" s="7"/>
      <c r="D21" s="5" t="s">
        <v>52</v>
      </c>
      <c r="E21" s="7"/>
      <c r="F21" s="7"/>
      <c r="G21" s="7"/>
      <c r="H21" s="7"/>
      <c r="I21" s="7" t="s">
        <v>43</v>
      </c>
      <c r="J21" s="7" t="str">
        <f t="shared" si="0"/>
        <v>https://sparkdate.date/lp?eventId=HwXXG8HPLMLwaoBoNdXk&amp;utm_source=&amp;utm_medium=&amp;utm_campaign=</v>
      </c>
      <c r="K21" s="7"/>
    </row>
  </sheetData>
  <dataValidations count="1">
    <dataValidation type="list" errorStyle="warning" allowBlank="1" sqref="F2:F21" xr:uid="{25C03D43-BF68-428C-BB36-B37315C33FEF}">
      <formula1>"cpc,paid_social,email,organic,referral"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errorStyle="warning" allowBlank="1" error="Pick a platform from the list, or type your own." xr:uid="{A57369D6-451F-4725-806A-D72D6C6E12C9}">
          <x14:formula1>
            <xm:f>Sheet2!$A$2:$A$13</xm:f>
          </x14:formula1>
          <xm:sqref>A2:A21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9E65-2D9A-497E-AA66-9F5496A6B40A}">
  <dimension ref="A1:A13"/>
  <sheetViews>
    <sheetView workbookViewId="0">
      <selection activeCell="H9" sqref="H9"/>
    </sheetView>
  </sheetViews>
  <sheetFormatPr defaultRowHeight="14.4" x14ac:dyDescent="0.3"/>
  <sheetData>
    <row r="1" spans="1:1" x14ac:dyDescent="0.3">
      <c r="A1" s="8" t="s">
        <v>53</v>
      </c>
    </row>
    <row r="2" spans="1:1" ht="15" x14ac:dyDescent="0.3">
      <c r="A2" s="9" t="s">
        <v>54</v>
      </c>
    </row>
    <row r="3" spans="1:1" ht="15" x14ac:dyDescent="0.3">
      <c r="A3" s="9" t="s">
        <v>55</v>
      </c>
    </row>
    <row r="4" spans="1:1" ht="15" x14ac:dyDescent="0.3">
      <c r="A4" s="9" t="s">
        <v>56</v>
      </c>
    </row>
    <row r="5" spans="1:1" ht="15" x14ac:dyDescent="0.3">
      <c r="A5" s="9" t="s">
        <v>57</v>
      </c>
    </row>
    <row r="6" spans="1:1" ht="15" x14ac:dyDescent="0.3">
      <c r="A6" s="9" t="s">
        <v>58</v>
      </c>
    </row>
    <row r="7" spans="1:1" ht="15" x14ac:dyDescent="0.3">
      <c r="A7" s="9" t="s">
        <v>59</v>
      </c>
    </row>
    <row r="8" spans="1:1" ht="15" x14ac:dyDescent="0.3">
      <c r="A8" s="9" t="s">
        <v>60</v>
      </c>
    </row>
    <row r="9" spans="1:1" ht="15" x14ac:dyDescent="0.3">
      <c r="A9" s="9" t="s">
        <v>61</v>
      </c>
    </row>
    <row r="10" spans="1:1" ht="15" x14ac:dyDescent="0.3">
      <c r="A10" s="9" t="s">
        <v>62</v>
      </c>
    </row>
    <row r="11" spans="1:1" ht="15" x14ac:dyDescent="0.3">
      <c r="A11" s="9" t="s">
        <v>63</v>
      </c>
    </row>
    <row r="12" spans="1:1" ht="15" x14ac:dyDescent="0.3">
      <c r="A12" s="9" t="s">
        <v>64</v>
      </c>
    </row>
    <row r="13" spans="1:1" ht="15" x14ac:dyDescent="0.3">
      <c r="A13" s="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Campaign Links Event 3</vt:lpstr>
      <vt:lpstr>Campaign Links Event 3 Tellus36</vt:lpstr>
      <vt:lpstr>Campaign Links Event 3 Good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 C</cp:lastModifiedBy>
  <dcterms:created xsi:type="dcterms:W3CDTF">2026-07-23T22:19:10Z</dcterms:created>
  <dcterms:modified xsi:type="dcterms:W3CDTF">2026-08-09T17:01:48Z</dcterms:modified>
</cp:coreProperties>
</file>